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werj\Desktop\Škola\Doktorát\GreenHotels\"/>
    </mc:Choice>
  </mc:AlternateContent>
  <xr:revisionPtr revIDLastSave="0" documentId="13_ncr:1_{C6BD988E-F2B2-4F8C-83DC-90B9D0D53FE1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ENERGY MANAGEMENT" sheetId="1" r:id="rId1"/>
    <sheet name="WATER MANAGEMENT " sheetId="5" r:id="rId2"/>
    <sheet name="WASTE MANAGEMENT 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" l="1"/>
  <c r="G47" i="1"/>
  <c r="G45" i="1"/>
  <c r="G43" i="1"/>
  <c r="G44" i="1"/>
  <c r="G46" i="1"/>
  <c r="G42" i="1"/>
  <c r="D46" i="1"/>
  <c r="C46" i="1"/>
  <c r="B46" i="1"/>
  <c r="F46" i="1" s="1"/>
  <c r="F45" i="1"/>
  <c r="F44" i="1"/>
  <c r="B43" i="1"/>
  <c r="F43" i="1" s="1"/>
  <c r="B42" i="1"/>
  <c r="F42" i="1" s="1"/>
  <c r="F6" i="4"/>
  <c r="F5" i="4"/>
  <c r="F4" i="4"/>
  <c r="B27" i="4" s="1"/>
  <c r="F4" i="5"/>
  <c r="B25" i="5" s="1"/>
  <c r="F5" i="5"/>
  <c r="F6" i="5"/>
  <c r="B51" i="5"/>
  <c r="B40" i="5"/>
  <c r="B28" i="5"/>
  <c r="B24" i="5"/>
  <c r="C17" i="5"/>
  <c r="B16" i="5"/>
  <c r="E15" i="5" s="1"/>
  <c r="D15" i="5"/>
  <c r="D14" i="5"/>
  <c r="D13" i="5"/>
  <c r="D12" i="5"/>
  <c r="D18" i="5" s="1"/>
  <c r="D11" i="5"/>
  <c r="B56" i="4"/>
  <c r="B41" i="4"/>
  <c r="B29" i="4"/>
  <c r="B25" i="4"/>
  <c r="B18" i="4"/>
  <c r="B32" i="4" s="1"/>
  <c r="E17" i="4"/>
  <c r="D17" i="4"/>
  <c r="E16" i="4"/>
  <c r="D16" i="4"/>
  <c r="E15" i="4"/>
  <c r="D15" i="4"/>
  <c r="E14" i="4"/>
  <c r="E20" i="4" s="1"/>
  <c r="D14" i="4"/>
  <c r="E13" i="4"/>
  <c r="D13" i="4"/>
  <c r="D19" i="4" s="1"/>
  <c r="F12" i="4"/>
  <c r="E12" i="4"/>
  <c r="D12" i="4"/>
  <c r="F11" i="4"/>
  <c r="E11" i="4"/>
  <c r="D11" i="4"/>
  <c r="B26" i="4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61" i="1"/>
  <c r="G72" i="1"/>
  <c r="G73" i="1"/>
  <c r="G74" i="1"/>
  <c r="G75" i="1"/>
  <c r="G76" i="1"/>
  <c r="G77" i="1"/>
  <c r="G78" i="1"/>
  <c r="G79" i="1"/>
  <c r="G80" i="1"/>
  <c r="G71" i="1"/>
  <c r="G65" i="1"/>
  <c r="G66" i="1"/>
  <c r="G67" i="1"/>
  <c r="G68" i="1"/>
  <c r="G69" i="1"/>
  <c r="G70" i="1"/>
  <c r="G62" i="1"/>
  <c r="G63" i="1"/>
  <c r="G64" i="1"/>
  <c r="G61" i="1"/>
  <c r="B26" i="5" l="1"/>
  <c r="B29" i="5" s="1"/>
  <c r="B41" i="5" s="1"/>
  <c r="B30" i="5"/>
  <c r="B42" i="5" s="1"/>
  <c r="E12" i="5"/>
  <c r="E13" i="5"/>
  <c r="E14" i="5"/>
  <c r="E11" i="5"/>
  <c r="B31" i="4"/>
  <c r="B43" i="4" s="1"/>
  <c r="F16" i="4"/>
  <c r="B22" i="4"/>
  <c r="F14" i="4"/>
  <c r="F17" i="4"/>
  <c r="F15" i="4"/>
  <c r="B30" i="4"/>
  <c r="F13" i="4"/>
  <c r="B21" i="4"/>
  <c r="B33" i="1"/>
  <c r="B32" i="1"/>
  <c r="B29" i="1"/>
  <c r="D28" i="1"/>
  <c r="D27" i="1"/>
  <c r="D26" i="1"/>
  <c r="D25" i="1"/>
  <c r="D24" i="1"/>
  <c r="D23" i="1"/>
  <c r="D22" i="1"/>
  <c r="D21" i="1"/>
  <c r="S15" i="1"/>
  <c r="T15" i="1" s="1"/>
  <c r="N15" i="1"/>
  <c r="M15" i="1"/>
  <c r="S14" i="1"/>
  <c r="T14" i="1" s="1"/>
  <c r="N14" i="1"/>
  <c r="M14" i="1"/>
  <c r="Z12" i="1"/>
  <c r="AA12" i="1" s="1"/>
  <c r="G12" i="1"/>
  <c r="J12" i="1" s="1"/>
  <c r="N12" i="1" s="1"/>
  <c r="F12" i="1"/>
  <c r="I12" i="1" s="1"/>
  <c r="M12" i="1" s="1"/>
  <c r="E12" i="1"/>
  <c r="H12" i="1" s="1"/>
  <c r="L12" i="1" s="1"/>
  <c r="Z11" i="1"/>
  <c r="AA11" i="1" s="1"/>
  <c r="J11" i="1"/>
  <c r="I11" i="1"/>
  <c r="H11" i="1"/>
  <c r="F6" i="1"/>
  <c r="F5" i="1"/>
  <c r="F4" i="1"/>
  <c r="V11" i="1" s="1"/>
  <c r="B53" i="5" l="1"/>
  <c r="B54" i="5" s="1"/>
  <c r="B37" i="5"/>
  <c r="B42" i="4"/>
  <c r="B38" i="4"/>
  <c r="D29" i="1"/>
  <c r="N11" i="1"/>
  <c r="M11" i="1"/>
  <c r="L11" i="1"/>
  <c r="O12" i="1"/>
  <c r="P12" i="1" s="1"/>
  <c r="Q12" i="1" s="1"/>
  <c r="R12" i="1"/>
  <c r="S12" i="1" s="1"/>
  <c r="T12" i="1" s="1"/>
  <c r="V15" i="1"/>
  <c r="X15" i="1" s="1"/>
  <c r="V14" i="1"/>
  <c r="X14" i="1" s="1"/>
  <c r="V12" i="1"/>
  <c r="B35" i="1"/>
  <c r="W14" i="1"/>
  <c r="Y14" i="1" s="1"/>
  <c r="W15" i="1"/>
  <c r="Y15" i="1" s="1"/>
  <c r="B36" i="1"/>
  <c r="B44" i="1" s="1"/>
  <c r="O11" i="1" l="1"/>
  <c r="P11" i="1" s="1"/>
  <c r="Q11" i="1" s="1"/>
  <c r="D36" i="1"/>
  <c r="E36" i="1"/>
  <c r="E35" i="1"/>
  <c r="D35" i="1"/>
  <c r="B47" i="4"/>
  <c r="R11" i="1"/>
  <c r="S11" i="1" s="1"/>
  <c r="T11" i="1" s="1"/>
  <c r="B38" i="1"/>
  <c r="B37" i="1"/>
  <c r="B45" i="1" s="1"/>
  <c r="Z15" i="1"/>
  <c r="AA15" i="1" s="1"/>
  <c r="Z14" i="1"/>
  <c r="AA14" i="1" s="1"/>
  <c r="E37" i="1" l="1"/>
  <c r="D37" i="1"/>
  <c r="E38" i="1"/>
  <c r="D38" i="1"/>
  <c r="B59" i="4"/>
  <c r="B5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tc={AE66EE62-72C9-4442-9CBA-90FC496DB808}</author>
    <author>tc={0BF3A6B8-C174-4EA8-8684-095956FE75B4}</author>
    <author>tc={9F6A109F-2A74-41E6-8830-6B8E3EC20AE1}</author>
  </authors>
  <commentList>
    <comment ref="C42" authorId="0" shapeId="0" xr:uid="{AE66EE62-72C9-4442-9CBA-90FC496DB8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  rok x+1 a X+2 je nutné provést výpočet v tabulce výše - do budoucna možno zdublovat…</t>
      </text>
    </comment>
    <comment ref="G47" authorId="1" shapeId="0" xr:uid="{0BF3A6B8-C174-4EA8-8684-095956FE75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Pozor není to součet vážených skóre x ve vzorci normalizováno součtem aktivních vah</t>
      </text>
    </comment>
    <comment ref="C52" authorId="2" shapeId="0" xr:uid="{9F6A109F-2A74-41E6-8830-6B8E3EC20AE1}">
      <text>
        <t>[Threaded comment]
Your version of Excel allows you to read this threaded comment; however, any edits to it will get removed if the file is opened in a newer version of Excel. Learn more: https://go.microsoft.com/fwlink/?linkid=870924
Comment:
    Typický profil - je důležitý ve smyslu - jsem-li malé zařízení a nikdy jsem se ESG nevěnoval, pak je v pořádku, že mám Bronze. Ale pokud jsem střední hotel a vyjde mi Bronze, a já bych měl být alespoń silver, pak je to špatně...</t>
      </text>
    </comment>
  </commentList>
</comments>
</file>

<file path=xl/sharedStrings.xml><?xml version="1.0" encoding="utf-8"?>
<sst xmlns="http://schemas.openxmlformats.org/spreadsheetml/2006/main" count="469" uniqueCount="355">
  <si>
    <t>Accommodation Profile</t>
  </si>
  <si>
    <t>Period</t>
  </si>
  <si>
    <t>Occupancy rate during the year (%)</t>
  </si>
  <si>
    <t xml:space="preserve">	Number of operating days</t>
  </si>
  <si>
    <t>Number of rooms</t>
  </si>
  <si>
    <t>Floor area including facilities (m²)</t>
  </si>
  <si>
    <t>Room night</t>
  </si>
  <si>
    <t>entered by user</t>
  </si>
  <si>
    <t>calculated by program</t>
  </si>
  <si>
    <t>recurring values</t>
  </si>
  <si>
    <t>Indicator</t>
  </si>
  <si>
    <t>Indicator description</t>
  </si>
  <si>
    <t>Data source</t>
  </si>
  <si>
    <t>Unit</t>
  </si>
  <si>
    <t>Normalized value for period x</t>
  </si>
  <si>
    <t>Normalized value for period (x+1)</t>
  </si>
  <si>
    <t>Normalized value for period (x+2)</t>
  </si>
  <si>
    <t>Conversion of kWh to GJ for period x</t>
  </si>
  <si>
    <t>Conversion of kWh to GJ for period (x+1)</t>
  </si>
  <si>
    <t>Conversion of kWh to GJ for period (x+2)</t>
  </si>
  <si>
    <t>Normalization Unit</t>
  </si>
  <si>
    <t>% change between period 
x and (x+1)</t>
  </si>
  <si>
    <t>Evaluation</t>
  </si>
  <si>
    <t>Report</t>
  </si>
  <si>
    <t>% change between period  (x+1) a (x+2)</t>
  </si>
  <si>
    <t>Total energy consumption per year</t>
  </si>
  <si>
    <t>Total amount of energy consumed by the accommodation facility for the selected period (x) - electricity, gas, heating, etc.</t>
  </si>
  <si>
    <t>Energy invoices / internal metering systems</t>
  </si>
  <si>
    <t>kWh</t>
  </si>
  <si>
    <t>GJ/room night*</t>
  </si>
  <si>
    <t>GJ/m2/rok</t>
  </si>
  <si>
    <t>Value for the period x</t>
  </si>
  <si>
    <t>Value for the period (x+1)</t>
  </si>
  <si>
    <t>Value for the period (x+2)</t>
  </si>
  <si>
    <t>% of energy from the grid</t>
  </si>
  <si>
    <t>Percentage of energy coming from the regular distribution network (e.g. grid electricity).</t>
  </si>
  <si>
    <t>Supplier contracts / invoices</t>
  </si>
  <si>
    <t>%</t>
  </si>
  <si>
    <t>% renewable energy</t>
  </si>
  <si>
    <t>Percentage of energy consumed from renewable sources (e.g. solar, wind, biomass energy).</t>
  </si>
  <si>
    <t>Supplier certification, own records</t>
  </si>
  <si>
    <t>ENERGY &amp; EMISSIONS – EU factors (auto-calculated)</t>
  </si>
  <si>
    <t>Explanations / Notes</t>
  </si>
  <si>
    <t>Note: Fill in kWh by energy source below (or link existing cells). CO₂e factors are EU averages; adjust in the Factors table if needed.</t>
  </si>
  <si>
    <t>Energy source</t>
  </si>
  <si>
    <t>Emissions (t CO₂e)</t>
  </si>
  <si>
    <t>Explanation</t>
  </si>
  <si>
    <t>Electricity – grid</t>
  </si>
  <si>
    <t>Electricity purchased from the national grid (without renewable certificates).</t>
  </si>
  <si>
    <t>Electricity – renewable (with GOs/RECs)</t>
  </si>
  <si>
    <t>Electricity supplied with Guarantees of Origin or Renewable Energy Certificates – may be reported as zero-emission (market-based).</t>
  </si>
  <si>
    <t>Natural gas</t>
  </si>
  <si>
    <t>Fuel gas used for heating or water heating.</t>
  </si>
  <si>
    <t>Heating oil</t>
  </si>
  <si>
    <t>Diesel or light fuel oil used in boilers.</t>
  </si>
  <si>
    <t>LPG</t>
  </si>
  <si>
    <t>Liquefied petroleum gas used for heating or cooking.</t>
  </si>
  <si>
    <t>Biomass (biogenic)</t>
  </si>
  <si>
    <t>Wood pellets, chips, or similar – only biogenic fraction counted.</t>
  </si>
  <si>
    <t>District heating</t>
  </si>
  <si>
    <t>Purchased heat from a district system; factor depends on local mix.</t>
  </si>
  <si>
    <t>Other</t>
  </si>
  <si>
    <t>Any other energy source not listed above.</t>
  </si>
  <si>
    <t>TOTAL</t>
  </si>
  <si>
    <t>INTENSITIES &amp; KPIs</t>
  </si>
  <si>
    <t>Shows energy and emission intensity per m² and room-night; helps identify efficiency and carbon footprint trends.</t>
  </si>
  <si>
    <t>Floor area (m²)</t>
  </si>
  <si>
    <t>Occupied room-nights</t>
  </si>
  <si>
    <t>Energy intensity (kWh/m²)</t>
  </si>
  <si>
    <t>Energy intensity (kWh/room-night)</t>
  </si>
  <si>
    <t>Emissions intensity (kg CO₂e/m²)</t>
  </si>
  <si>
    <t>Emissions intensity (kg CO₂e/room-night)</t>
  </si>
  <si>
    <t>BENCHMARKS &amp; THRESHOLDS</t>
  </si>
  <si>
    <t>SCORING (0–100)</t>
  </si>
  <si>
    <t>TOTAL SCORE (0–100)</t>
  </si>
  <si>
    <t>RATING</t>
  </si>
  <si>
    <t>How to interpret your results</t>
  </si>
  <si>
    <t>Rating</t>
  </si>
  <si>
    <t>Meaning</t>
  </si>
  <si>
    <t>Typical profile</t>
  </si>
  <si>
    <t>Recommended next steps</t>
  </si>
  <si>
    <t>Basic (0–25)</t>
  </si>
  <si>
    <t>Initial stage. Limited data available, no energy management plan in place.</t>
  </si>
  <si>
    <t>Company lacks systematic monitoring or targets.</t>
  </si>
  <si>
    <t>Start by collecting full annual energy data and setting a baseline for electricity and heating consumption.</t>
  </si>
  <si>
    <t>Bronze (26–50)</t>
  </si>
  <si>
    <t>Basic energy tracking started. Partial data or first energy-saving actions implemented.</t>
  </si>
  <si>
    <t>Usually small facilities without a dedicated ESG strategy.</t>
  </si>
  <si>
    <t>Improve data quality, install smart meters, and define a yearly reduction target.</t>
  </si>
  <si>
    <t>Silver (51–75)</t>
  </si>
  <si>
    <t>Active management of energy use and emissions. Some renewable energy or efficient systems introduced.</t>
  </si>
  <si>
    <t>Typical for mid-size hotels with clear monitoring.</t>
  </si>
  <si>
    <t>Identify high-consumption areas, upgrade lighting to LED, and explore partial renewable energy sourcing (e.g. green electricity tariff).</t>
  </si>
  <si>
    <t>Gold (76–90)</t>
  </si>
  <si>
    <t>Advanced management with defined goals and verified reduction achievements.</t>
  </si>
  <si>
    <t>Facilities implementing ISO 50001 or corporate sustainability plans.</t>
  </si>
  <si>
    <t>Set science-based targets, perform energy audits, and optimise heating and cooling systems.</t>
  </si>
  <si>
    <t>Platinum (91–100)</t>
  </si>
  <si>
    <t>Exemplary sustainability leadership.</t>
  </si>
  <si>
    <t>Facilities powered fully by renewables and with continuous improvement verified by third parties.</t>
  </si>
  <si>
    <t>Maintain certification (ISO 50001/SBTi) and share best practices with industry peers.</t>
  </si>
  <si>
    <t>Data completeness (10)</t>
  </si>
  <si>
    <t>Generally recommended</t>
  </si>
  <si>
    <t>Section</t>
  </si>
  <si>
    <t>Activity / measure</t>
  </si>
  <si>
    <t>Filling (%)</t>
  </si>
  <si>
    <t>Note/evidence</t>
  </si>
  <si>
    <t>Score</t>
  </si>
  <si>
    <t>Energy audit</t>
  </si>
  <si>
    <t>Has an energy consumption analysis (audit) been carried out?</t>
  </si>
  <si>
    <t>audit carried out this year 1.3. 2025</t>
  </si>
  <si>
    <t>LED lighting</t>
  </si>
  <si>
    <t>Have all the lights been replaced with LEDs?</t>
  </si>
  <si>
    <t>Energy-saving appliances</t>
  </si>
  <si>
    <t>Are appliances with an energy label of A++ or higher used?</t>
  </si>
  <si>
    <t>HVAC systems - maintenance</t>
  </si>
  <si>
    <t>Is regular maintenance of the air conditioning, heating and ventilation carried out?</t>
  </si>
  <si>
    <t>Use of renewable energy sources</t>
  </si>
  <si>
    <t>Is energy from solar, wind or other renewable sources used?</t>
  </si>
  <si>
    <t>Purchase of green electricity</t>
  </si>
  <si>
    <t>Does the company have a contract for the supply of electricity from renewable sources?</t>
  </si>
  <si>
    <t>Energy insulation of the building</t>
  </si>
  <si>
    <t>Is the building energy insulated (walls, windows, roof)?</t>
  </si>
  <si>
    <t>…own activity…</t>
  </si>
  <si>
    <t>Best  practice</t>
  </si>
  <si>
    <t>Employee Behavior</t>
  </si>
  <si>
    <t>Do you provide regular training to your staff on energy-efficient behavior?</t>
  </si>
  <si>
    <t>Cleaning &amp; Laundry</t>
  </si>
  <si>
    <t>Do you wash towels on request?_x000D_
E.g. If you wish to change towels, leave them on the floor." "</t>
  </si>
  <si>
    <t>Do you have a set frequency for changing bed linen? E.g. Guest information: "We change bed linen every 3 days, if you wish otherwise, please contact the reception."</t>
  </si>
  <si>
    <t>Lighting</t>
  </si>
  <si>
    <t>Do you use motion sensors in the hallways and social areas?</t>
  </si>
  <si>
    <t>Do you use cards as energy activators in the room (lights only when the card is inserted)?</t>
  </si>
  <si>
    <t>Heating &amp; Air Conditioning</t>
  </si>
  <si>
    <t>Do you have a standard heating temperature set with the possibility of individual heating on request?</t>
  </si>
  <si>
    <t>Is the air conditioning only functional when the windows are closed?</t>
  </si>
  <si>
    <t>Guest Behavior</t>
  </si>
  <si>
    <t>Do you use communication tools to inform and educate guests? E.g. Signs "When leaving, please turn off the lights and the air conditioning."</t>
  </si>
  <si>
    <t>Do you use communication tools to inform and educate guests? E.g. A small flyer with a QR code that shows a video or short info about the hotel's measures.</t>
  </si>
  <si>
    <t>Management &amp; Technology</t>
  </si>
  <si>
    <t>Do you perform regular, more frequent monitoring of energy consumption (e.g. weekly/monthly)?</t>
  </si>
  <si>
    <t>Do you record guests' requests for temperature control for use in predictions and trend evaluation?</t>
  </si>
  <si>
    <t>…own activity….</t>
  </si>
  <si>
    <t>ENERGY &amp; CONSUMPTION DATA (with auto-calculated)</t>
  </si>
  <si>
    <t>x (eg. 2024)</t>
  </si>
  <si>
    <t>x+1 (eg. 2025)</t>
  </si>
  <si>
    <t>x+2 (eg. 2026)</t>
  </si>
  <si>
    <t>Total amount of energy consumed by the accommodation facility for the selected period  - electricity, gas, heating, etc.</t>
  </si>
  <si>
    <t>Pozn. vhodné i pro plánování změn, např. 2024 - už nezměním, provedla jsem nějaké změny v roce 2025 a další investice, mám naplánované pro rok 2026 - mohu vložit odhad nebo změnit např. obsazenost pokojů/počet pokojů atd.</t>
  </si>
  <si>
    <t>Auto-calculated value</t>
  </si>
  <si>
    <t>Results</t>
  </si>
  <si>
    <t>3. Self-catering accommodation, serviced apartments</t>
  </si>
  <si>
    <t>4. Hotel with restaurant – full gastronomy</t>
  </si>
  <si>
    <t>2. Hotel / Pension bez restaurace – continental breakfast, reception, basic services</t>
  </si>
  <si>
    <t>5. Hotel with wellness / pool / conferences – vysoká spotřeba</t>
  </si>
  <si>
    <t>A. Central Europe</t>
  </si>
  <si>
    <t>B. North Europe</t>
  </si>
  <si>
    <t>C. South Evropa</t>
  </si>
  <si>
    <t>1. Guesthouse / Pension – only accomodation, no gastronomy</t>
  </si>
  <si>
    <t>50-90</t>
  </si>
  <si>
    <t>20-35</t>
  </si>
  <si>
    <t>≤ 15</t>
  </si>
  <si>
    <t>≤ 5</t>
  </si>
  <si>
    <t>50–90</t>
  </si>
  <si>
    <t>20–35</t>
  </si>
  <si>
    <t>25–40</t>
  </si>
  <si>
    <t>6–9</t>
  </si>
  <si>
    <t>90–140</t>
  </si>
  <si>
    <t>30–45</t>
  </si>
  <si>
    <t>20–30</t>
  </si>
  <si>
    <t>6–10</t>
  </si>
  <si>
    <t>Typical value - category</t>
  </si>
  <si>
    <t>Category Value</t>
  </si>
  <si>
    <t>2. Hotel / Pension  – only continental breakfast, reception, basic services</t>
  </si>
  <si>
    <t>3. Self-catering accommodation, small accommodation</t>
  </si>
  <si>
    <t>1. Guesthouse / Pension – only accommodation, no gastronomy</t>
  </si>
  <si>
    <t xml:space="preserve">EF (kg CO₂e/kWh) </t>
  </si>
  <si>
    <t>WATER &amp; CONSUMPTION DATA (auto-calculated)</t>
  </si>
  <si>
    <t>Water source</t>
  </si>
  <si>
    <t>Withdrawn (m³/year)</t>
  </si>
  <si>
    <t>Returned to same source (m³/year)</t>
  </si>
  <si>
    <t>Consumed (m³/year)</t>
  </si>
  <si>
    <t>Share of total withdrawn (%)</t>
  </si>
  <si>
    <t>Municipal water supply</t>
  </si>
  <si>
    <t>Potable water from municipal network.</t>
  </si>
  <si>
    <t>Groundwater (own borehole)</t>
  </si>
  <si>
    <t>Self-supplied fresh water; include only permitted extraction.</t>
  </si>
  <si>
    <t>Rainwater harvesting</t>
  </si>
  <si>
    <t>Collected rainwater used on site (typically non-potable).</t>
  </si>
  <si>
    <t>Recycled / greywater use</t>
  </si>
  <si>
    <t>Water reused for toilets, irrigation, laundry, cooling, etc.</t>
  </si>
  <si>
    <t>Tankers or other sources not listed above.</t>
  </si>
  <si>
    <t>TOTAL withdrawn (m³)</t>
  </si>
  <si>
    <t>TOTAL returned (m³)</t>
  </si>
  <si>
    <t>TOTAL consumed (m³)</t>
  </si>
  <si>
    <t>High / Extremely High Water Stress (% of total withdrawn)</t>
  </si>
  <si>
    <t>Share of total water withdrawn that comes from regions with high or extremely high baseline water stress (e.g., WRI Aqueduct).</t>
  </si>
  <si>
    <t>Discharge destination / treatment (free text)</t>
  </si>
  <si>
    <t>Optional: where water is discharged and whether treated on site or by utility.</t>
  </si>
  <si>
    <t>Shows water-use efficiency and circularity. Use these KPIs for year-on-year tracking and peer comparison.</t>
  </si>
  <si>
    <t>Room nights (available)</t>
  </si>
  <si>
    <t>Room nights (occupied)</t>
  </si>
  <si>
    <t>Water intensity (m³/m²)</t>
  </si>
  <si>
    <t>Water intensity (L/room-night)</t>
  </si>
  <si>
    <t>% from recycled or rainwater</t>
  </si>
  <si>
    <t>Reference and target values to compare performance with industry leaders (e.g., Hilton) and your peer group.</t>
  </si>
  <si>
    <t>Reference: Hilton water intensity (L/room-night)</t>
  </si>
  <si>
    <t>Water threshold – Excellent (≤)</t>
  </si>
  <si>
    <t>Water threshold – Good (≤)</t>
  </si>
  <si>
    <t>Water threshold – Fair (≤)</t>
  </si>
  <si>
    <t>Compare: Your water intensity vs. Hilton (%)</t>
  </si>
  <si>
    <t>Water intensity score (40)</t>
  </si>
  <si>
    <t>Circular water use score (20)</t>
  </si>
  <si>
    <t>MANAGEMENT PRACTICES (water-specific)</t>
  </si>
  <si>
    <t>Question</t>
  </si>
  <si>
    <t>Yes/No</t>
  </si>
  <si>
    <t>Is monthly water consumption monitored and recorded?</t>
  </si>
  <si>
    <t>Enables tracking of use and basic leak detection.</t>
  </si>
  <si>
    <t>Are leak detection systems or smart meters installed?</t>
  </si>
  <si>
    <t>Identifies abnormal consumption and reduces losses.</t>
  </si>
  <si>
    <t>Are low-flow fixtures and aerators installed (taps, showers)?</t>
  </si>
  <si>
    <t>Improves efficiency and reduces per-guest use.</t>
  </si>
  <si>
    <t>Is rainwater or greywater reused on site?</t>
  </si>
  <si>
    <t>Supports circular water use and resilience.</t>
  </si>
  <si>
    <t>Are staff trained in water-saving practices?</t>
  </si>
  <si>
    <t>Builds awareness and operational control.</t>
  </si>
  <si>
    <t>Management practices score (30)</t>
  </si>
  <si>
    <t>How to interpret your results (Water)</t>
  </si>
  <si>
    <t>No systematic measurement; no defined water-saving initiatives.</t>
  </si>
  <si>
    <t>Start monthly monitoring, set a baseline and identify top water uses (guest bathrooms, laundry, kitchens).</t>
  </si>
  <si>
    <t>Partial tracking and basic actions (linen/towel reuse, maintenance).</t>
  </si>
  <si>
    <t>Facility with basic awareness; limited metering.</t>
  </si>
  <si>
    <t>Install meters/smart sub-meters, train staff, fix visible leaks, and set a yearly reduction target.</t>
  </si>
  <si>
    <t>Active water management; low-flow fixtures and first reuse solutions.</t>
  </si>
  <si>
    <t>Introduce rainwater harvesting or greywater reuse for non‑potable uses; schedule regular leak detection.</t>
  </si>
  <si>
    <t>Advanced efficiency, reuse and continuous monitoring.</t>
  </si>
  <si>
    <t>Benchmark against peers; expand reuse systems (toilets/irrigation), optimise laundry and kitchen processes.</t>
  </si>
  <si>
    <t>Exemplary water stewardship and circularity (&gt;20% reused/harvested).</t>
  </si>
  <si>
    <t>Facility with full monitoring and performance verified over time.</t>
  </si>
  <si>
    <t>Maintain performance, certify (e.g., ISO 14001/50001) and share best practices with peers and local community.</t>
  </si>
  <si>
    <t>BEST PRACTICES – Water Efficiency &amp; Reuse</t>
  </si>
  <si>
    <t>• Install low-flow fixtures (taps, showers, dual-flush toilets) to reduce per-guest consumption.</t>
  </si>
  <si>
    <t>• Introduce greywater reuse for toilet flushing, irrigation or laundry operations.</t>
  </si>
  <si>
    <t>• Use smart meters and sub-metering to monitor kitchens, pools, and garden areas.</t>
  </si>
  <si>
    <t>• Implement a regular leak detection and maintenance programme.</t>
  </si>
  <si>
    <t>• Launch staff awareness and guest education campaigns on water conservation.</t>
  </si>
  <si>
    <t>• Consider rainwater harvesting and reuse for cleaning or landscaping purposes.</t>
  </si>
  <si>
    <t>• Monitor daily water consumption per occupied room-night to identify anomalies early.</t>
  </si>
  <si>
    <t>Pouze 50% objektu</t>
  </si>
  <si>
    <t>WASTE &amp; CONSUMPTION DATA (auto-calculated)</t>
  </si>
  <si>
    <t>Waste stream</t>
  </si>
  <si>
    <t>Quantity (kg/year)</t>
  </si>
  <si>
    <t>Destination / Treatment</t>
  </si>
  <si>
    <t>Recycled (kg)</t>
  </si>
  <si>
    <t>Recovered incl. compost/AD/energy (kg)</t>
  </si>
  <si>
    <t>Share of total (%)</t>
  </si>
  <si>
    <t>Mixed municipal waste</t>
  </si>
  <si>
    <t>Residual waste sent to general disposal (landfill/incineration).</t>
  </si>
  <si>
    <t>Paper and cardboard</t>
  </si>
  <si>
    <t>Office and packaging paper/cardboard.</t>
  </si>
  <si>
    <t>Plastics</t>
  </si>
  <si>
    <t>Packaging materials and bottles.</t>
  </si>
  <si>
    <t>Glass</t>
  </si>
  <si>
    <t>Bottles and jars.</t>
  </si>
  <si>
    <t>Metal</t>
  </si>
  <si>
    <t>Aluminium, steel cans, etc.</t>
  </si>
  <si>
    <t>Organic / Food waste</t>
  </si>
  <si>
    <t>Kitchen and restaurant waste; suitable for composting/AD.</t>
  </si>
  <si>
    <t>Other (e-waste, hazardous)</t>
  </si>
  <si>
    <t>Batteries, bulbs, chemicals – specialised treatment.</t>
  </si>
  <si>
    <t>TOTAL waste generated (kg)</t>
  </si>
  <si>
    <t>TOTAL recycled (kg)</t>
  </si>
  <si>
    <t>TOTAL recovered incl. compost/AD/energy (kg)</t>
  </si>
  <si>
    <t>% recycled</t>
  </si>
  <si>
    <t>% recovered incl. compost/AD/energy</t>
  </si>
  <si>
    <t>Waste intensity (kg/m²)</t>
  </si>
  <si>
    <t>Waste intensity (kg/room-night)</t>
  </si>
  <si>
    <t>% recycled (of generated)</t>
  </si>
  <si>
    <t>Waste threshold – Excellent (kg/room-night, ≤)</t>
  </si>
  <si>
    <t>Waste threshold – Good (kg/room-night, ≤)</t>
  </si>
  <si>
    <t>Waste threshold – Fair (kg/room-night, ≤)</t>
  </si>
  <si>
    <t>Compare: Your waste intensity vs. Good threshold (%)</t>
  </si>
  <si>
    <t>Waste intensity score (40)</t>
  </si>
  <si>
    <t>Circular waste management score (20)</t>
  </si>
  <si>
    <t>(to be added in the next section)</t>
  </si>
  <si>
    <t>MANAGEMENT PRACTICES (waste-specific)</t>
  </si>
  <si>
    <t>Are waste quantities tracked monthly by type?</t>
  </si>
  <si>
    <t>Enables monitoring and early identification of anomalies.</t>
  </si>
  <si>
    <t>Is waste separated at source (paper, plastic, glass, food)?</t>
  </si>
  <si>
    <t>Fundamental for recycling and recovery performance.</t>
  </si>
  <si>
    <t>Are suppliers engaged to reduce packaging or use returnable containers?</t>
  </si>
  <si>
    <t>Helps reduce waste generation upstream.</t>
  </si>
  <si>
    <t>Is organic/food waste composted or sent to anaerobic digestion?</t>
  </si>
  <si>
    <t>Reduces landfill waste and GHG emissions.</t>
  </si>
  <si>
    <t>Are staff trained in waste segregation and reduction?</t>
  </si>
  <si>
    <t>Ensures consistency in sustainable practices.</t>
  </si>
  <si>
    <t>How to interpret your results (Waste)</t>
  </si>
  <si>
    <t>No monitoring or separation of waste.</t>
  </si>
  <si>
    <t>Facility without recycling plan or tracking.</t>
  </si>
  <si>
    <t>Start measuring total waste and set a baseline for recycling rate.</t>
  </si>
  <si>
    <t>Basic separation and partial tracking in place.</t>
  </si>
  <si>
    <t>Smaller facility with simple bins and awareness posters.</t>
  </si>
  <si>
    <t>Introduce monthly tracking by waste type, improve signage, and work with suppliers to reduce packaging.</t>
  </si>
  <si>
    <t>Active waste management and segregation across main waste streams.</t>
  </si>
  <si>
    <t>Mid-size facility with established recycling and supplier collaboration.</t>
  </si>
  <si>
    <t>Add composting or anaerobic digestion for food waste; measure recycling rate quarterly.</t>
  </si>
  <si>
    <t>Advanced circular waste practices and supplier engagement.</t>
  </si>
  <si>
    <t>Facility with waste reduction plans and traceability of outputs.</t>
  </si>
  <si>
    <t>Optimise recovery streams, expand circular packaging and refill systems, monitor waste intensity.</t>
  </si>
  <si>
    <t>Exemplary waste prevention and full traceability; &gt;90% diversion from landfill.</t>
  </si>
  <si>
    <t>Facility with verified performance and near zero-waste operations.</t>
  </si>
  <si>
    <t>Share best practices, engage local community, and pursue zero-waste certification.</t>
  </si>
  <si>
    <t>BEST PRACTICES – Waste Management</t>
  </si>
  <si>
    <t>• Implement waste separation at source in all areas (guest, kitchen, housekeeping).</t>
  </si>
  <si>
    <t>• Track waste quantities monthly by type and treatment route.</t>
  </si>
  <si>
    <t>• Engage suppliers to reduce packaging and introduce returnable or refillable containers.</t>
  </si>
  <si>
    <t>• Implement organic waste composting or connect to a biogas/anaerobic digestion facility.</t>
  </si>
  <si>
    <t>• Use clear signage and colour-coded bins to improve sorting accuracy.</t>
  </si>
  <si>
    <t>• Launch staff and guest awareness campaigns about recycling and waste prevention.</t>
  </si>
  <si>
    <t>• Partner with local recyclers or NGOs to improve material recovery.</t>
  </si>
  <si>
    <t>• Regularly review waste performance KPIs and set annual reduction targets.</t>
  </si>
  <si>
    <t>Facility without metering or monthly tracking.</t>
  </si>
  <si>
    <t>Facility with monitoring and optimisation.</t>
  </si>
  <si>
    <t>Facility with targets, smart meters and audits.</t>
  </si>
  <si>
    <t>80–120</t>
  </si>
  <si>
    <t>15-25</t>
  </si>
  <si>
    <t>150-220</t>
  </si>
  <si>
    <t>45–75</t>
  </si>
  <si>
    <t>35-50</t>
  </si>
  <si>
    <t>70-110+</t>
  </si>
  <si>
    <t>220-320+</t>
  </si>
  <si>
    <t>45-70+</t>
  </si>
  <si>
    <t>15–28+</t>
  </si>
  <si>
    <t>Recommendation</t>
  </si>
  <si>
    <t>Comments</t>
  </si>
  <si>
    <t>Year X</t>
  </si>
  <si>
    <t>Year X+1</t>
  </si>
  <si>
    <t>Year X+2 (latest)</t>
  </si>
  <si>
    <t>Renewable electricity share (%)</t>
  </si>
  <si>
    <t xml:space="preserve">Příklad: POUZE pro jeden rok (2024) - plynový kotel + síťová elektřina </t>
  </si>
  <si>
    <t>WEIGHTS</t>
  </si>
  <si>
    <t>A. Energy performance (current)</t>
  </si>
  <si>
    <t>B. Energy trend YoY</t>
  </si>
  <si>
    <t>C. Carbon performance (current)</t>
  </si>
  <si>
    <t>D. Carbon trend YoY</t>
  </si>
  <si>
    <t>E. Renewable sourcing</t>
  </si>
  <si>
    <t>K</t>
  </si>
  <si>
    <t>L (Good_max)</t>
  </si>
  <si>
    <t>M (Acceptable_max)</t>
  </si>
  <si>
    <t>N (Upper_ref)</t>
  </si>
  <si>
    <t>THRESHOLDS</t>
  </si>
  <si>
    <r>
      <t>Renewables</t>
    </r>
    <r>
      <rPr>
        <sz val="9"/>
        <color theme="0" tint="-0.249977111117893"/>
        <rFont val="Calibri"/>
        <family val="2"/>
        <scheme val="minor"/>
      </rPr>
      <t xml:space="preserve"> (L=Excellent, M=Good, N=Baseline)</t>
    </r>
  </si>
  <si>
    <t>meziroční porovnání</t>
  </si>
  <si>
    <t>Score for year X</t>
  </si>
  <si>
    <t>WEIGHT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</si>
</sst>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charset val="238"/>
    </font>
    <font>
      <b/>
      <sz val="11"/>
      <name val="Calibri"/>
      <family val="2"/>
      <charset val="238"/>
    </font>
    <font>
      <b/>
      <sz val="12"/>
      <name val="Calibri"/>
      <family val="2"/>
      <charset val="238"/>
    </font>
    <font>
      <b/>
      <sz val="11"/>
      <name val="Calibri"/>
      <family val="2"/>
      <charset val="238"/>
    </font>
    <font>
      <b/>
      <sz val="11"/>
      <name val="Calibri"/>
      <family val="2"/>
      <charset val="238"/>
    </font>
    <font>
      <b/>
      <sz val="14"/>
      <color theme="1"/>
      <name val="Calibri"/>
      <family val="2"/>
      <charset val="238"/>
      <scheme val="minor"/>
    </font>
    <font>
      <i/>
      <sz val="11"/>
      <color theme="6" tint="-0.249977111117893"/>
      <name val="Calibri"/>
      <family val="2"/>
      <charset val="238"/>
      <scheme val="minor"/>
    </font>
    <font>
      <i/>
      <sz val="8"/>
      <color theme="6" tint="-0.249977111117893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i/>
      <sz val="9"/>
      <color rgb="FF92D050"/>
      <name val="Calibri"/>
      <family val="2"/>
      <charset val="238"/>
      <scheme val="minor"/>
    </font>
    <font>
      <b/>
      <sz val="9"/>
      <color theme="0" tint="-0.249977111117893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rgb="FFE2EFDA"/>
      </patternFill>
    </fill>
    <fill>
      <patternFill patternType="solid">
        <fgColor theme="9" tint="0.59999389629810485"/>
        <bgColor rgb="FFFCE4D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0" xfId="0" applyFill="1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6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0" fillId="5" borderId="3" xfId="0" applyFill="1" applyBorder="1" applyAlignment="1">
      <alignment horizontal="center" vertical="center" wrapText="1"/>
    </xf>
    <xf numFmtId="0" fontId="5" fillId="5" borderId="5" xfId="0" applyFont="1" applyFill="1" applyBorder="1" applyAlignment="1">
      <alignment wrapText="1"/>
    </xf>
    <xf numFmtId="0" fontId="0" fillId="5" borderId="8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7" borderId="6" xfId="0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5" borderId="0" xfId="0" applyFill="1"/>
    <xf numFmtId="0" fontId="0" fillId="0" borderId="5" xfId="0" applyBorder="1" applyAlignment="1">
      <alignment horizontal="center" vertical="center" wrapText="1"/>
    </xf>
    <xf numFmtId="0" fontId="8" fillId="0" borderId="0" xfId="0" applyFont="1"/>
    <xf numFmtId="0" fontId="0" fillId="5" borderId="1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wrapText="1"/>
    </xf>
    <xf numFmtId="3" fontId="0" fillId="0" borderId="1" xfId="0" applyNumberFormat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13" fillId="0" borderId="0" xfId="0" applyFont="1"/>
    <xf numFmtId="0" fontId="10" fillId="15" borderId="0" xfId="0" applyFont="1" applyFill="1"/>
    <xf numFmtId="4" fontId="0" fillId="15" borderId="0" xfId="0" applyNumberFormat="1" applyFill="1"/>
    <xf numFmtId="0" fontId="0" fillId="15" borderId="0" xfId="0" applyFill="1"/>
    <xf numFmtId="4" fontId="0" fillId="15" borderId="0" xfId="0" applyNumberFormat="1" applyFill="1" applyAlignment="1">
      <alignment horizontal="center" vertical="center"/>
    </xf>
    <xf numFmtId="0" fontId="0" fillId="12" borderId="0" xfId="0" applyFill="1" applyAlignment="1">
      <alignment vertical="center"/>
    </xf>
    <xf numFmtId="0" fontId="10" fillId="12" borderId="0" xfId="0" applyFont="1" applyFill="1" applyAlignment="1">
      <alignment vertical="center"/>
    </xf>
    <xf numFmtId="0" fontId="6" fillId="10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horizontal="center" vertical="center" wrapText="1"/>
    </xf>
    <xf numFmtId="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11" fillId="11" borderId="1" xfId="0" applyFont="1" applyFill="1" applyBorder="1" applyAlignment="1">
      <alignment horizontal="left" vertical="center" wrapText="1"/>
    </xf>
    <xf numFmtId="4" fontId="3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wrapText="1"/>
    </xf>
    <xf numFmtId="0" fontId="0" fillId="10" borderId="1" xfId="0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 vertical="center" wrapText="1"/>
    </xf>
    <xf numFmtId="4" fontId="0" fillId="4" borderId="1" xfId="0" applyNumberFormat="1" applyFill="1" applyBorder="1"/>
    <xf numFmtId="0" fontId="0" fillId="10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4" fontId="0" fillId="6" borderId="1" xfId="0" applyNumberFormat="1" applyFill="1" applyBorder="1"/>
    <xf numFmtId="0" fontId="16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wrapText="1"/>
    </xf>
    <xf numFmtId="0" fontId="17" fillId="10" borderId="1" xfId="0" applyFont="1" applyFill="1" applyBorder="1" applyAlignment="1">
      <alignment horizontal="center" vertical="center"/>
    </xf>
    <xf numFmtId="4" fontId="0" fillId="4" borderId="10" xfId="0" applyNumberFormat="1" applyFill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5" xfId="0" applyFill="1" applyBorder="1" applyAlignment="1">
      <alignment vertical="center" wrapText="1"/>
    </xf>
    <xf numFmtId="0" fontId="7" fillId="8" borderId="0" xfId="0" applyFont="1" applyFill="1"/>
    <xf numFmtId="0" fontId="8" fillId="9" borderId="0" xfId="0" applyFont="1" applyFill="1" applyAlignment="1">
      <alignment wrapText="1"/>
    </xf>
    <xf numFmtId="0" fontId="7" fillId="18" borderId="0" xfId="0" applyFont="1" applyFill="1"/>
    <xf numFmtId="17" fontId="0" fillId="0" borderId="1" xfId="0" applyNumberFormat="1" applyBorder="1" applyAlignment="1">
      <alignment horizontal="center" vertical="center" wrapText="1"/>
    </xf>
    <xf numFmtId="4" fontId="0" fillId="7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8" fillId="5" borderId="1" xfId="0" applyFont="1" applyFill="1" applyBorder="1"/>
    <xf numFmtId="0" fontId="8" fillId="0" borderId="1" xfId="0" applyFont="1" applyBorder="1"/>
    <xf numFmtId="0" fontId="8" fillId="8" borderId="1" xfId="0" applyFont="1" applyFill="1" applyBorder="1"/>
    <xf numFmtId="0" fontId="8" fillId="9" borderId="12" xfId="0" applyFont="1" applyFill="1" applyBorder="1"/>
    <xf numFmtId="0" fontId="7" fillId="8" borderId="1" xfId="0" applyFont="1" applyFill="1" applyBorder="1"/>
    <xf numFmtId="0" fontId="8" fillId="0" borderId="1" xfId="0" applyFont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8" fillId="9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6" borderId="1" xfId="0" applyFill="1" applyBorder="1"/>
    <xf numFmtId="4" fontId="0" fillId="7" borderId="1" xfId="0" applyNumberFormat="1" applyFill="1" applyBorder="1"/>
    <xf numFmtId="0" fontId="0" fillId="7" borderId="1" xfId="0" applyFill="1" applyBorder="1"/>
    <xf numFmtId="0" fontId="20" fillId="0" borderId="1" xfId="0" applyFont="1" applyBorder="1" applyAlignment="1">
      <alignment horizontal="center" vertical="center" wrapText="1"/>
    </xf>
    <xf numFmtId="0" fontId="20" fillId="6" borderId="1" xfId="0" applyFont="1" applyFill="1" applyBorder="1" applyAlignment="1">
      <alignment wrapText="1"/>
    </xf>
    <xf numFmtId="0" fontId="8" fillId="9" borderId="0" xfId="0" applyFont="1" applyFill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3" fillId="12" borderId="5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/>
    </xf>
    <xf numFmtId="0" fontId="0" fillId="6" borderId="10" xfId="0" applyFill="1" applyBorder="1"/>
    <xf numFmtId="4" fontId="0" fillId="4" borderId="3" xfId="0" applyNumberFormat="1" applyFill="1" applyBorder="1" applyAlignment="1">
      <alignment horizontal="center" vertical="center"/>
    </xf>
    <xf numFmtId="4" fontId="3" fillId="4" borderId="17" xfId="0" applyNumberFormat="1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14" borderId="11" xfId="0" applyFont="1" applyFill="1" applyBorder="1" applyAlignment="1">
      <alignment horizontal="left" vertical="center" wrapText="1"/>
    </xf>
    <xf numFmtId="0" fontId="19" fillId="10" borderId="11" xfId="0" applyFont="1" applyFill="1" applyBorder="1" applyAlignment="1">
      <alignment horizontal="center" vertical="center" wrapText="1"/>
    </xf>
    <xf numFmtId="0" fontId="0" fillId="0" borderId="0" xfId="0"/>
    <xf numFmtId="0" fontId="0" fillId="16" borderId="0" xfId="0" applyFill="1" applyAlignment="1">
      <alignment horizontal="center"/>
    </xf>
    <xf numFmtId="0" fontId="12" fillId="10" borderId="11" xfId="0" applyFont="1" applyFill="1" applyBorder="1" applyAlignment="1">
      <alignment horizontal="left" vertical="center"/>
    </xf>
    <xf numFmtId="0" fontId="10" fillId="9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9" fillId="11" borderId="0" xfId="0" applyFont="1" applyFill="1" applyAlignment="1">
      <alignment vertical="center"/>
    </xf>
    <xf numFmtId="0" fontId="0" fillId="12" borderId="0" xfId="0" applyFill="1" applyAlignment="1">
      <alignment vertical="center"/>
    </xf>
    <xf numFmtId="0" fontId="0" fillId="0" borderId="0" xfId="0" applyAlignment="1">
      <alignment wrapText="1"/>
    </xf>
    <xf numFmtId="0" fontId="14" fillId="0" borderId="0" xfId="0" applyFont="1" applyAlignment="1">
      <alignment horizontal="center" wrapText="1"/>
    </xf>
    <xf numFmtId="0" fontId="7" fillId="8" borderId="0" xfId="0" applyFont="1" applyFill="1"/>
    <xf numFmtId="0" fontId="8" fillId="8" borderId="0" xfId="0" applyFont="1" applyFill="1"/>
    <xf numFmtId="0" fontId="8" fillId="8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159487</xdr:colOff>
      <xdr:row>8</xdr:row>
      <xdr:rowOff>168348</xdr:rowOff>
    </xdr:from>
    <xdr:to>
      <xdr:col>30</xdr:col>
      <xdr:colOff>79885</xdr:colOff>
      <xdr:row>11</xdr:row>
      <xdr:rowOff>1184659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46092" y="3003697"/>
          <a:ext cx="6048089" cy="3202335"/>
        </a:xfrm>
        <a:prstGeom prst="rect">
          <a:avLst/>
        </a:prstGeom>
        <a:solidFill>
          <a:srgbClr val="FFFFFF"/>
        </a:solidFill>
        <a:ln w="88900" cap="sq">
          <a:solidFill>
            <a:srgbClr val="FFFFFF"/>
          </a:solidFill>
          <a:prstDash val="solid"/>
          <a:miter lim="800000"/>
        </a:ln>
        <a:sp3d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Šánová Petra" id="{87737FA1-2EE1-4A5C-8CCE-740D9908C82A}" userId="S::sanova@pef.czu.cz::794ffc5f-eda3-4547-9842-5174dfbd15fe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2" dT="2025-11-09T20:22:51.53" personId="{87737FA1-2EE1-4A5C-8CCE-740D9908C82A}" id="{AE66EE62-72C9-4442-9CBA-90FC496DB808}">
    <text>Pro  rok x+1 a X+2 je nutné provést výpočet v tabulce výše - do budoucna možno zdublovat…</text>
  </threadedComment>
  <threadedComment ref="G47" dT="2025-11-09T21:30:05.10" personId="{87737FA1-2EE1-4A5C-8CCE-740D9908C82A}" id="{0BF3A6B8-C174-4EA8-8684-095956FE75B4}">
    <text>Pozor není to součet vážených skóre x ve vzorci normalizováno součtem aktivních vah</text>
  </threadedComment>
  <threadedComment ref="C52" dT="2025-11-09T20:48:37.06" personId="{87737FA1-2EE1-4A5C-8CCE-740D9908C82A}" id="{9F6A109F-2A74-41E6-8830-6B8E3EC20AE1}">
    <text>Typický profil - je důležitý ve smyslu - jsem-li malé zařízení a nikdy jsem se ESG nevěnoval, pak je v pořádku, že mám Bronze. Ale pokud jsem střední hotel a vyjde mi Bronze, a já bych měl být alespoń silver, pak je to špatně...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topLeftCell="A54" zoomScale="80" zoomScaleNormal="80" workbookViewId="0">
      <selection activeCell="J65" sqref="J65"/>
    </sheetView>
  </sheetViews>
  <sheetFormatPr defaultRowHeight="15" x14ac:dyDescent="0.25"/>
  <cols>
    <col min="1" max="1" width="18.140625" style="9" customWidth="1"/>
    <col min="2" max="2" width="21.7109375" customWidth="1"/>
    <col min="3" max="3" width="25.5703125" customWidth="1"/>
    <col min="4" max="4" width="24.5703125" customWidth="1"/>
    <col min="5" max="5" width="25.28515625" customWidth="1"/>
    <col min="6" max="6" width="16.7109375" customWidth="1"/>
    <col min="7" max="7" width="18.7109375" customWidth="1"/>
    <col min="8" max="8" width="16.5703125" customWidth="1"/>
    <col min="9" max="10" width="17.28515625" customWidth="1"/>
    <col min="11" max="11" width="14.85546875" customWidth="1"/>
    <col min="12" max="12" width="14.140625" customWidth="1"/>
    <col min="13" max="13" width="14.42578125" customWidth="1"/>
    <col min="14" max="14" width="14.7109375" customWidth="1"/>
    <col min="15" max="16" width="14.28515625" customWidth="1"/>
    <col min="17" max="17" width="19.7109375" customWidth="1"/>
    <col min="18" max="18" width="14.42578125" customWidth="1"/>
    <col min="19" max="19" width="15.28515625" customWidth="1"/>
    <col min="20" max="20" width="26.28515625" customWidth="1"/>
  </cols>
  <sheetData>
    <row r="1" spans="1:27" ht="48" x14ac:dyDescent="0.25">
      <c r="A1" s="47" t="s">
        <v>0</v>
      </c>
      <c r="B1" s="48"/>
      <c r="C1" s="72" t="s">
        <v>175</v>
      </c>
      <c r="D1" s="63" t="s">
        <v>173</v>
      </c>
      <c r="E1" s="63" t="s">
        <v>174</v>
      </c>
      <c r="F1" s="63" t="s">
        <v>152</v>
      </c>
      <c r="G1" s="63" t="s">
        <v>154</v>
      </c>
      <c r="H1" s="62"/>
      <c r="I1" s="76" t="s">
        <v>155</v>
      </c>
      <c r="J1" s="75" t="s">
        <v>156</v>
      </c>
      <c r="K1" s="70" t="s">
        <v>157</v>
      </c>
      <c r="L1" s="48"/>
      <c r="M1" s="48"/>
    </row>
    <row r="2" spans="1:27" ht="31.9" customHeight="1" thickBot="1" x14ac:dyDescent="0.3"/>
    <row r="3" spans="1:27" ht="43.9" customHeight="1" thickBot="1" x14ac:dyDescent="0.3">
      <c r="A3" s="40" t="s">
        <v>1</v>
      </c>
      <c r="B3" s="15" t="s">
        <v>2</v>
      </c>
      <c r="C3" s="6" t="s">
        <v>3</v>
      </c>
      <c r="D3" s="6" t="s">
        <v>4</v>
      </c>
      <c r="E3" s="6" t="s">
        <v>5</v>
      </c>
      <c r="F3" s="6" t="s">
        <v>6</v>
      </c>
      <c r="H3" s="17" t="s">
        <v>7</v>
      </c>
      <c r="I3" s="18" t="s">
        <v>8</v>
      </c>
      <c r="J3" s="39" t="s">
        <v>9</v>
      </c>
      <c r="L3" s="161" t="s">
        <v>148</v>
      </c>
      <c r="M3" s="161"/>
      <c r="N3" s="161"/>
    </row>
    <row r="4" spans="1:27" ht="28.9" customHeight="1" x14ac:dyDescent="0.25">
      <c r="A4" s="14" t="s">
        <v>144</v>
      </c>
      <c r="B4" s="42">
        <v>75</v>
      </c>
      <c r="C4" s="19">
        <v>365</v>
      </c>
      <c r="D4" s="19">
        <v>45</v>
      </c>
      <c r="E4" s="19">
        <v>4320</v>
      </c>
      <c r="F4" s="16">
        <f>(B4/100)*C4*D4</f>
        <v>12318.75</v>
      </c>
    </row>
    <row r="5" spans="1:27" ht="28.9" customHeight="1" x14ac:dyDescent="0.25">
      <c r="A5" s="14" t="s">
        <v>145</v>
      </c>
      <c r="B5" s="42">
        <v>75</v>
      </c>
      <c r="C5" s="19">
        <v>365</v>
      </c>
      <c r="D5" s="19">
        <v>45</v>
      </c>
      <c r="E5" s="19">
        <v>4320</v>
      </c>
      <c r="F5" s="16">
        <f>(B5/100)*C5*D5</f>
        <v>12318.75</v>
      </c>
    </row>
    <row r="6" spans="1:27" ht="29.45" customHeight="1" x14ac:dyDescent="0.25">
      <c r="A6" s="14" t="s">
        <v>146</v>
      </c>
      <c r="B6" s="42">
        <v>75</v>
      </c>
      <c r="C6" s="19">
        <v>365</v>
      </c>
      <c r="D6" s="19">
        <v>45</v>
      </c>
      <c r="E6" s="19">
        <v>4320</v>
      </c>
      <c r="F6" s="16">
        <f>(B6/100)*C6*D6</f>
        <v>12318.75</v>
      </c>
    </row>
    <row r="7" spans="1:27" x14ac:dyDescent="0.25">
      <c r="B7" s="46"/>
      <c r="C7" s="46"/>
      <c r="D7" s="46"/>
      <c r="E7" s="46"/>
    </row>
    <row r="9" spans="1:27" ht="18.75" x14ac:dyDescent="0.25">
      <c r="A9" s="155" t="s">
        <v>143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</row>
    <row r="10" spans="1:27" s="7" customFormat="1" ht="57.6" customHeight="1" x14ac:dyDescent="0.25">
      <c r="A10" s="36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  <c r="K10" s="6" t="s">
        <v>20</v>
      </c>
      <c r="L10" s="6" t="s">
        <v>14</v>
      </c>
      <c r="M10" s="6" t="s">
        <v>15</v>
      </c>
      <c r="N10" s="6" t="s">
        <v>16</v>
      </c>
      <c r="O10" s="6" t="s">
        <v>21</v>
      </c>
      <c r="P10" s="6" t="s">
        <v>22</v>
      </c>
      <c r="Q10" s="6" t="s">
        <v>23</v>
      </c>
      <c r="R10" s="6" t="s">
        <v>24</v>
      </c>
      <c r="S10" s="6" t="s">
        <v>22</v>
      </c>
      <c r="T10" s="36" t="s">
        <v>23</v>
      </c>
    </row>
    <row r="11" spans="1:27" s="9" customFormat="1" ht="95.45" customHeight="1" x14ac:dyDescent="0.25">
      <c r="A11" s="10" t="s">
        <v>25</v>
      </c>
      <c r="B11" s="12" t="s">
        <v>147</v>
      </c>
      <c r="C11" s="12" t="s">
        <v>27</v>
      </c>
      <c r="D11" s="12" t="s">
        <v>28</v>
      </c>
      <c r="E11" s="51">
        <v>510000</v>
      </c>
      <c r="F11" s="51">
        <v>590000</v>
      </c>
      <c r="G11" s="51">
        <v>490000</v>
      </c>
      <c r="H11" s="52">
        <f t="shared" ref="H11:J12" si="0">E11*0.0036</f>
        <v>1836</v>
      </c>
      <c r="I11" s="52">
        <f t="shared" si="0"/>
        <v>2124</v>
      </c>
      <c r="J11" s="52">
        <f t="shared" si="0"/>
        <v>1764</v>
      </c>
      <c r="K11" s="12" t="s">
        <v>29</v>
      </c>
      <c r="L11" s="52">
        <f>H11/F4</f>
        <v>0.14904109589041095</v>
      </c>
      <c r="M11" s="52">
        <f>I11/F5</f>
        <v>0.17242009132420091</v>
      </c>
      <c r="N11" s="53">
        <f>J11/F6</f>
        <v>0.14319634703196346</v>
      </c>
      <c r="O11" s="54">
        <f>(M11 - L11) / L11 * 100</f>
        <v>15.686274509803926</v>
      </c>
      <c r="P11" s="105" t="str">
        <f>IF(ABS(O11)&lt;=5, "Normal fluctuation – not significant",
IF(ABS(O11)&lt;=10, "Notable – worth monitoring",
IF(ABS(O11)&lt;=20, "Significant – reflect in reporting",
"Key change – describe the reason (action taken)")))</f>
        <v>Significant – reflect in reporting</v>
      </c>
      <c r="Q11" s="105" t="str">
        <f>IF(P11="Normal fluctuation – not significant","Stable trend – maintain current practices and keep staff motivated.",
IF(P11="Notable – worth monitoring",IF(O11&lt;0,"Slight improvement observed – monitor if the trend continues.","Slight increase in consumption – analyze possible reasons."),
IF(P11="Significant – reflect in reporting",IF(O11&lt;0,"Great! Significant improvement – include in ESG report and inspire others.","Significant increase – detailed analysis and action plan recommended."),
IF(P11="Key change – describe the reason (action taken)",IF(O11&lt;0,"Major improvement – analyze what worked and standardize the approach.","Major deterioration – immediate action and optimization needed."),
""))))</f>
        <v>Significant increase – detailed analysis and action plan recommended.</v>
      </c>
      <c r="R11" s="19">
        <f>(N11 - M11) /M11 * 100</f>
        <v>-16.949152542372886</v>
      </c>
      <c r="S11" s="105" t="str">
        <f>IF(ABS(R11)&lt;=5, "Normal fluctuation – not significant",
IF(ABS(R11)&lt;=10, "Notable – worth monitoring",
IF(ABS(R11)&lt;=20, "Significant – reflect in reporting",
"Key change – describe the reason (action taken)")))</f>
        <v>Significant – reflect in reporting</v>
      </c>
      <c r="T11" s="105" t="str">
        <f>IF(S11="Normal fluctuation – not significant","Stable trend – maintain current practices and keep staff motivated.",
IF(S11="Notable – worth monitoring",IF(R11&lt;0,"Slight improvement observed – monitor if the trend continues.","Slight increase in consumption – analyze possible reasons."),
IF(S11="Significant – reflect in reporting",IF(R11&lt;0,"Great! Significant improvement – include in ESG report and inspire others.","Significant increase – detailed analysis and action plan recommended."),
IF(S11="Key change – describe the reason (action taken)",IF(R11&lt;0,"Major improvement – analyze what worked and standardize the approach.","Major deterioration – immediate action and optimization needed."),
""))))</f>
        <v>Great! Significant improvement – include in ESG report and inspire others.</v>
      </c>
      <c r="U11" s="46"/>
      <c r="V11" s="9" t="str">
        <f>IF(F4=0, "", IF(ISNUMBER(K11), K11/F4, ""))</f>
        <v/>
      </c>
      <c r="Z11" s="9" t="str">
        <f>IF(AND(ISNUMBER(Y11), ISNUMBER(X11)), Y11 - X11, "")</f>
        <v/>
      </c>
      <c r="AA11" s="9" t="str">
        <f>IF(Z11="", "", IF(Z11 &gt; 5, "Zlepšení", IF(Z11 &lt; -5, "Zhoršení", "Beze změny")))</f>
        <v/>
      </c>
    </row>
    <row r="12" spans="1:27" ht="96" customHeight="1" x14ac:dyDescent="0.25">
      <c r="A12" s="11"/>
      <c r="B12" s="12" t="s">
        <v>26</v>
      </c>
      <c r="C12" s="12" t="s">
        <v>27</v>
      </c>
      <c r="D12" s="12" t="s">
        <v>28</v>
      </c>
      <c r="E12" s="104">
        <f>E11</f>
        <v>510000</v>
      </c>
      <c r="F12" s="104">
        <f>F11</f>
        <v>590000</v>
      </c>
      <c r="G12" s="104">
        <f>G11</f>
        <v>490000</v>
      </c>
      <c r="H12" s="52">
        <f t="shared" si="0"/>
        <v>1836</v>
      </c>
      <c r="I12" s="52">
        <f t="shared" si="0"/>
        <v>2124</v>
      </c>
      <c r="J12" s="52">
        <f t="shared" si="0"/>
        <v>1764</v>
      </c>
      <c r="K12" s="12" t="s">
        <v>30</v>
      </c>
      <c r="L12" s="52">
        <f>H12/E4</f>
        <v>0.42499999999999999</v>
      </c>
      <c r="M12" s="52">
        <f>I12/E5</f>
        <v>0.49166666666666664</v>
      </c>
      <c r="N12" s="53">
        <f>J12/E6</f>
        <v>0.40833333333333333</v>
      </c>
      <c r="O12" s="54">
        <f>(M12 - L12) / L12 * 100</f>
        <v>15.686274509803919</v>
      </c>
      <c r="P12" s="105" t="str">
        <f>IF(ABS(O12)&lt;=5, "Normal fluctuation – not significant",
IF(ABS(O12)&lt;=10, "Notable – worth monitoring",
IF(ABS(O12)&lt;=20, "Significant – reflect in reporting",
"Key change – describe the reason (action taken)")))</f>
        <v>Significant – reflect in reporting</v>
      </c>
      <c r="Q12" s="105" t="str">
        <f>IF(P12="Normal fluctuation – not significant","Stable trend – maintain current practices and keep staff motivated.",
IF(P12="Notable – worth monitoring",IF(O12&lt;0,"Slight improvement observed – monitor if the trend continues.","Slight increase in consumption – analyze possible reasons."),
IF(P12="Significant – reflect in reporting",IF(O12&lt;0,"Great! Significant improvement – include in ESG report and inspire others.","Significant increase – detailed analysis and action plan recommended."),
IF(P12="Key change – describe the reason (action taken)",IF(O12&lt;0,"Major improvement – analyze what worked and standardize the approach.","Major deterioration – immediate action and optimization needed."),
""))))</f>
        <v>Significant increase – detailed analysis and action plan recommended.</v>
      </c>
      <c r="R12" s="19">
        <f>(N12 - M12) /M12 * 100</f>
        <v>-16.949152542372879</v>
      </c>
      <c r="S12" s="105" t="str">
        <f>IF(ABS(R12)&lt;=5, "Normal fluctuation – not significant",
IF(ABS(R12)&lt;=10, "Notable – worth monitoring",
IF(ABS(R12)&lt;=20, "Significant – reflect in reporting",
"Key change – describe the reason (action taken)")))</f>
        <v>Significant – reflect in reporting</v>
      </c>
      <c r="T12" s="105" t="str">
        <f>IF(S12="Normal fluctuation – not significant","Stable trend – maintain current practices and keep staff motivated.",
IF(S12="Notable – worth monitoring",IF(R12&lt;0,"Slight improvement observed – monitor if the trend continues.","Slight increase in consumption – analyze possible reasons."),
IF(S12="Significant – reflect in reporting",IF(R12&lt;0,"Great! Significant improvement – include in ESG report and inspire others.","Significant increase – detailed analysis and action plan recommended."),
IF(S12="Key change – describe the reason (action taken)",IF(R12&lt;0,"Major improvement – analyze what worked and standardize the approach.","Major deterioration – immediate action and optimization needed."),
""))))</f>
        <v>Great! Significant improvement – include in ESG report and inspire others.</v>
      </c>
      <c r="U12" s="45"/>
      <c r="V12" t="str">
        <f>IF(F4=0, "", IF(ISNUMBER(K12), K12/F4, ""))</f>
        <v/>
      </c>
      <c r="Z12" t="str">
        <f>IF(AND(ISNUMBER(Y12), ISNUMBER(X12)), Y12 - X12, "")</f>
        <v/>
      </c>
      <c r="AA12" t="str">
        <f>IF(Z12="", "", IF(Z12 &gt; 5, "Zlepšení", IF(Z12 &lt; -5, "Zhoršení", "Beze změny")))</f>
        <v/>
      </c>
    </row>
    <row r="13" spans="1:27" s="5" customFormat="1" ht="43.9" customHeight="1" x14ac:dyDescent="0.25">
      <c r="A13" s="11"/>
      <c r="B13" s="3"/>
      <c r="C13" s="3"/>
      <c r="D13" s="3"/>
      <c r="E13" s="6" t="s">
        <v>31</v>
      </c>
      <c r="F13" s="6" t="s">
        <v>32</v>
      </c>
      <c r="G13" s="6" t="s">
        <v>33</v>
      </c>
      <c r="H13" s="3" t="s">
        <v>334</v>
      </c>
      <c r="I13" s="3"/>
      <c r="J13" s="3"/>
      <c r="K13" s="3"/>
      <c r="L13" s="3"/>
      <c r="M13" s="3"/>
      <c r="N13" s="4"/>
      <c r="O13" s="4"/>
      <c r="P13" s="4"/>
      <c r="Q13" s="4"/>
      <c r="R13" s="4"/>
      <c r="S13" s="4"/>
      <c r="T13" s="38"/>
    </row>
    <row r="14" spans="1:27" ht="73.5" customHeight="1" x14ac:dyDescent="0.25">
      <c r="A14" s="3" t="s">
        <v>34</v>
      </c>
      <c r="B14" s="13" t="s">
        <v>35</v>
      </c>
      <c r="C14" s="12" t="s">
        <v>36</v>
      </c>
      <c r="D14" s="12" t="s">
        <v>37</v>
      </c>
      <c r="E14" s="8">
        <v>100</v>
      </c>
      <c r="F14" s="19">
        <v>100</v>
      </c>
      <c r="G14" s="19">
        <v>85</v>
      </c>
      <c r="H14" s="19"/>
      <c r="I14" s="19"/>
      <c r="J14" s="19"/>
      <c r="K14" s="12"/>
      <c r="L14" s="19"/>
      <c r="M14" s="19" t="str">
        <f>IF($U$4=0, "", IF(ISNUMBER(K14), K14/$U$4, ""))</f>
        <v/>
      </c>
      <c r="N14" s="1" t="str">
        <f>IF($U$4=0, "", IF(ISNUMBER(L14), L14/$U$4, ""))</f>
        <v/>
      </c>
      <c r="O14" s="1"/>
      <c r="P14" s="1"/>
      <c r="Q14" s="1"/>
      <c r="R14" s="1"/>
      <c r="S14" s="1" t="str">
        <f>IF(AND(ISNUMBER(R14), ISNUMBER(O14)), R14 - O14, "")</f>
        <v/>
      </c>
      <c r="T14" s="37" t="str">
        <f>IF(S14="", "", IF(S14 &gt; 5, "Zlepšení", IF(S14 &lt; -5, "Zhoršení", "Beze změny")))</f>
        <v/>
      </c>
      <c r="V14" t="str">
        <f>IF(F4=0, "", IF(ISNUMBER(K14), K14/F4, ""))</f>
        <v/>
      </c>
      <c r="W14" t="str">
        <f>IF(F4=0, "", IF(ISNUMBER(L14), L14/F4, ""))</f>
        <v/>
      </c>
      <c r="X14" t="str">
        <f>IF(ISNUMBER(V14), MAX(0, MIN(100, 100 - V14)), "")</f>
        <v/>
      </c>
      <c r="Y14" t="str">
        <f>IF(ISNUMBER(W14), MAX(0, MIN(100, 100 - W14)), "")</f>
        <v/>
      </c>
      <c r="Z14" t="str">
        <f>IF(AND(ISNUMBER(Y14), ISNUMBER(X14)), Y14 - X14, "")</f>
        <v/>
      </c>
      <c r="AA14" t="str">
        <f>IF(Z14="", "", IF(Z14 &gt; 5, "Zlepšení", IF(Z14 &lt; -5, "Zhoršení", "Beze změny")))</f>
        <v/>
      </c>
    </row>
    <row r="15" spans="1:27" ht="90.75" customHeight="1" x14ac:dyDescent="0.25">
      <c r="A15" s="3" t="s">
        <v>38</v>
      </c>
      <c r="B15" s="13" t="s">
        <v>39</v>
      </c>
      <c r="C15" s="12" t="s">
        <v>40</v>
      </c>
      <c r="D15" s="12" t="s">
        <v>37</v>
      </c>
      <c r="E15" s="8">
        <v>0</v>
      </c>
      <c r="F15" s="19">
        <v>0</v>
      </c>
      <c r="G15" s="19">
        <v>15</v>
      </c>
      <c r="H15" s="19"/>
      <c r="I15" s="19"/>
      <c r="J15" s="19"/>
      <c r="K15" s="12"/>
      <c r="L15" s="19"/>
      <c r="M15" s="19" t="str">
        <f>IF($U$4=0, "", IF(ISNUMBER(K15), K15/$U$4, ""))</f>
        <v/>
      </c>
      <c r="N15" s="1" t="str">
        <f>IF($U$4=0, "", IF(ISNUMBER(L15), L15/$U$4, ""))</f>
        <v/>
      </c>
      <c r="O15" s="1"/>
      <c r="P15" s="1"/>
      <c r="Q15" s="1"/>
      <c r="R15" s="1"/>
      <c r="S15" s="1" t="str">
        <f>IF(AND(ISNUMBER(R15), ISNUMBER(O15)), R15 - O15, "")</f>
        <v/>
      </c>
      <c r="T15" s="1" t="str">
        <f>IF(S15="", "", IF(S15 &gt; 5, "Zlepšení", IF(S15 &lt; -5, "Zhoršení", "Beze změny")))</f>
        <v/>
      </c>
      <c r="V15" t="str">
        <f>IF(F4=0, "", IF(ISNUMBER(K15), K15/F4, ""))</f>
        <v/>
      </c>
      <c r="W15" t="str">
        <f>IF(F4=0, "", IF(ISNUMBER(L15), L15/F4, ""))</f>
        <v/>
      </c>
      <c r="X15" t="str">
        <f>IF(ISNUMBER(V15), MAX(0, MIN(100, 100 - V15)), "")</f>
        <v/>
      </c>
      <c r="Y15" t="str">
        <f>IF(ISNUMBER(W15), MAX(0, MIN(100, 100 - W15)), "")</f>
        <v/>
      </c>
      <c r="Z15" t="str">
        <f>IF(AND(ISNUMBER(Y15), ISNUMBER(X15)), Y15 - X15, "")</f>
        <v/>
      </c>
      <c r="AA15" t="str">
        <f>IF(Z15="", "", IF(Z15 &gt; 5, "Zlepšení", IF(Z15 &lt; -5, "Zhoršení", "Beze změny")))</f>
        <v/>
      </c>
    </row>
    <row r="16" spans="1:27" x14ac:dyDescent="0.25"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</row>
    <row r="17" spans="1:17" ht="26.45" customHeight="1" x14ac:dyDescent="0.25">
      <c r="A17" s="158" t="s">
        <v>41</v>
      </c>
      <c r="B17" s="159"/>
      <c r="C17" s="159"/>
      <c r="D17" s="60"/>
      <c r="E17" s="61" t="s">
        <v>42</v>
      </c>
      <c r="F17" s="60"/>
    </row>
    <row r="18" spans="1:17" ht="36.6" customHeight="1" x14ac:dyDescent="0.25">
      <c r="A18" s="160" t="s">
        <v>43</v>
      </c>
      <c r="B18" s="160"/>
      <c r="C18" s="160"/>
      <c r="E18" s="55" t="s">
        <v>339</v>
      </c>
      <c r="F18" s="55"/>
      <c r="G18" s="55"/>
    </row>
    <row r="20" spans="1:17" ht="14.45" customHeight="1" x14ac:dyDescent="0.25">
      <c r="A20" s="71" t="s">
        <v>44</v>
      </c>
      <c r="B20" s="71" t="s">
        <v>28</v>
      </c>
      <c r="C20" s="90" t="s">
        <v>176</v>
      </c>
      <c r="D20" s="71" t="s">
        <v>45</v>
      </c>
      <c r="E20" s="156" t="s">
        <v>46</v>
      </c>
      <c r="F20" s="156"/>
      <c r="G20" s="156"/>
      <c r="H20" s="156"/>
      <c r="I20" s="156"/>
    </row>
    <row r="21" spans="1:17" x14ac:dyDescent="0.25">
      <c r="A21" s="4" t="s">
        <v>47</v>
      </c>
      <c r="B21" s="64">
        <v>210100</v>
      </c>
      <c r="C21" s="91">
        <v>0.432</v>
      </c>
      <c r="D21" s="53">
        <f t="shared" ref="D21:D28" si="1">B21*C21/1000</f>
        <v>90.763199999999998</v>
      </c>
      <c r="E21" t="s">
        <v>48</v>
      </c>
    </row>
    <row r="22" spans="1:17" ht="16.149999999999999" customHeight="1" x14ac:dyDescent="0.25">
      <c r="A22" s="4" t="s">
        <v>49</v>
      </c>
      <c r="B22" s="64">
        <v>0</v>
      </c>
      <c r="C22" s="65">
        <v>0</v>
      </c>
      <c r="D22" s="53">
        <f t="shared" si="1"/>
        <v>0</v>
      </c>
      <c r="E22" t="s">
        <v>50</v>
      </c>
    </row>
    <row r="23" spans="1:17" x14ac:dyDescent="0.25">
      <c r="A23" s="4" t="s">
        <v>51</v>
      </c>
      <c r="B23" s="64">
        <v>289900</v>
      </c>
      <c r="C23" s="91">
        <v>0.20200000000000001</v>
      </c>
      <c r="D23" s="53">
        <f t="shared" si="1"/>
        <v>58.559800000000003</v>
      </c>
      <c r="E23" t="s">
        <v>52</v>
      </c>
    </row>
    <row r="24" spans="1:17" x14ac:dyDescent="0.25">
      <c r="A24" s="4" t="s">
        <v>53</v>
      </c>
      <c r="B24" s="64">
        <v>0</v>
      </c>
      <c r="C24" s="65">
        <v>0.26700000000000002</v>
      </c>
      <c r="D24" s="53">
        <f t="shared" si="1"/>
        <v>0</v>
      </c>
      <c r="E24" t="s">
        <v>54</v>
      </c>
    </row>
    <row r="25" spans="1:17" x14ac:dyDescent="0.25">
      <c r="A25" s="4" t="s">
        <v>55</v>
      </c>
      <c r="B25" s="64">
        <v>0</v>
      </c>
      <c r="C25" s="65">
        <v>0.22700000000000001</v>
      </c>
      <c r="D25" s="53">
        <f t="shared" si="1"/>
        <v>0</v>
      </c>
      <c r="E25" t="s">
        <v>56</v>
      </c>
    </row>
    <row r="26" spans="1:17" ht="15.6" customHeight="1" x14ac:dyDescent="0.25">
      <c r="A26" s="4" t="s">
        <v>57</v>
      </c>
      <c r="B26" s="64">
        <v>10000</v>
      </c>
      <c r="C26" s="91">
        <v>0.02</v>
      </c>
      <c r="D26" s="53">
        <f t="shared" si="1"/>
        <v>0.2</v>
      </c>
      <c r="E26" t="s">
        <v>58</v>
      </c>
    </row>
    <row r="27" spans="1:17" ht="18" customHeight="1" x14ac:dyDescent="0.25">
      <c r="A27" s="4" t="s">
        <v>59</v>
      </c>
      <c r="B27" s="64">
        <v>0</v>
      </c>
      <c r="C27" s="65">
        <v>0.18</v>
      </c>
      <c r="D27" s="53">
        <f t="shared" si="1"/>
        <v>0</v>
      </c>
      <c r="E27" t="s">
        <v>60</v>
      </c>
      <c r="K27" s="153"/>
      <c r="L27" s="153"/>
      <c r="M27" s="153"/>
      <c r="O27" s="153"/>
      <c r="P27" s="153"/>
      <c r="Q27" s="153"/>
    </row>
    <row r="28" spans="1:17" x14ac:dyDescent="0.25">
      <c r="A28" s="4" t="s">
        <v>61</v>
      </c>
      <c r="B28" s="64">
        <v>0</v>
      </c>
      <c r="C28" s="65">
        <v>0.2</v>
      </c>
      <c r="D28" s="53">
        <f t="shared" si="1"/>
        <v>0</v>
      </c>
      <c r="E28" t="s">
        <v>62</v>
      </c>
      <c r="K28" s="153"/>
      <c r="L28" s="153"/>
      <c r="M28" s="153"/>
      <c r="O28" s="153"/>
      <c r="P28" s="153"/>
      <c r="Q28" s="153"/>
    </row>
    <row r="29" spans="1:17" x14ac:dyDescent="0.25">
      <c r="A29" s="56" t="s">
        <v>63</v>
      </c>
      <c r="B29" s="57">
        <f>SUM(B21:B28)</f>
        <v>510000</v>
      </c>
      <c r="C29" s="58"/>
      <c r="D29" s="59">
        <f>SUM(D21:D28)</f>
        <v>149.523</v>
      </c>
    </row>
    <row r="30" spans="1:17" ht="14.45" customHeight="1" x14ac:dyDescent="0.25">
      <c r="A30" s="74"/>
      <c r="B30" s="49"/>
      <c r="C30" s="49"/>
      <c r="D30" s="49"/>
      <c r="E30" s="154" t="s">
        <v>65</v>
      </c>
      <c r="F30" s="154"/>
      <c r="G30" s="154"/>
      <c r="H30" s="154"/>
      <c r="I30" s="154"/>
      <c r="J30" s="154"/>
      <c r="K30" s="154"/>
      <c r="L30" s="154"/>
      <c r="M30" s="154"/>
    </row>
    <row r="31" spans="1:17" ht="26.45" customHeight="1" x14ac:dyDescent="0.25">
      <c r="A31" s="66" t="s">
        <v>64</v>
      </c>
      <c r="B31" s="67" t="s">
        <v>149</v>
      </c>
    </row>
    <row r="32" spans="1:17" x14ac:dyDescent="0.25">
      <c r="A32" s="69" t="s">
        <v>66</v>
      </c>
      <c r="B32" s="83">
        <f>E4</f>
        <v>4320</v>
      </c>
    </row>
    <row r="33" spans="1:14" ht="28.9" customHeight="1" x14ac:dyDescent="0.25">
      <c r="A33" s="69" t="s">
        <v>67</v>
      </c>
      <c r="B33" s="73">
        <f>(D4*C4*B4)/100</f>
        <v>12318.75</v>
      </c>
      <c r="G33" s="84"/>
      <c r="H33" s="85"/>
      <c r="I33" s="85"/>
      <c r="J33" s="85"/>
      <c r="K33" s="85"/>
    </row>
    <row r="34" spans="1:14" ht="60" x14ac:dyDescent="0.25">
      <c r="A34" s="77"/>
      <c r="B34" s="78"/>
      <c r="C34" s="68" t="s">
        <v>171</v>
      </c>
      <c r="D34" s="68" t="s">
        <v>150</v>
      </c>
      <c r="E34" s="68" t="s">
        <v>333</v>
      </c>
      <c r="G34" s="89" t="s">
        <v>172</v>
      </c>
      <c r="H34" s="72" t="s">
        <v>175</v>
      </c>
      <c r="I34" s="63" t="s">
        <v>173</v>
      </c>
      <c r="J34" s="63" t="s">
        <v>174</v>
      </c>
      <c r="K34" s="63" t="s">
        <v>152</v>
      </c>
      <c r="L34" s="63" t="s">
        <v>154</v>
      </c>
    </row>
    <row r="35" spans="1:14" ht="46.9" customHeight="1" x14ac:dyDescent="0.25">
      <c r="A35" s="69" t="s">
        <v>68</v>
      </c>
      <c r="B35" s="73">
        <f>B29/E4</f>
        <v>118.05555555555556</v>
      </c>
      <c r="C35" s="8" t="s">
        <v>159</v>
      </c>
      <c r="D35" s="8" t="str">
        <f>IF(B35="","",IF(B35&lt;=90,"Within typical range",IF(B35&lt;=120,"Slightly above average","High energy consumption")))</f>
        <v>Slightly above average</v>
      </c>
      <c r="E35" s="19" t="str">
        <f>IF(B35="","",IF(B35&lt;=90,"Maintain the current efficiency level.",IF(B35&lt;=120,"Consider small operational energy-saving measures.","Conduct an energy audit and implement efficiency improvements.")))</f>
        <v>Consider small operational energy-saving measures.</v>
      </c>
      <c r="G35" s="69" t="s">
        <v>68</v>
      </c>
      <c r="H35" s="19" t="s">
        <v>163</v>
      </c>
      <c r="I35" s="88" t="s">
        <v>324</v>
      </c>
      <c r="J35" s="19" t="s">
        <v>167</v>
      </c>
      <c r="K35" s="19" t="s">
        <v>326</v>
      </c>
      <c r="L35" s="19" t="s">
        <v>330</v>
      </c>
    </row>
    <row r="36" spans="1:14" ht="52.9" customHeight="1" x14ac:dyDescent="0.25">
      <c r="A36" s="69" t="s">
        <v>69</v>
      </c>
      <c r="B36" s="73">
        <f>IF(B33&gt;0,B29/B33,"")</f>
        <v>41.400304414003045</v>
      </c>
      <c r="C36" s="8" t="s">
        <v>160</v>
      </c>
      <c r="D36" s="8" t="str">
        <f>IF(B36="","",IF(B36&lt;=35,"Within typical range",IF(B36&lt;=45,"Slightly above average","High energy use per room-night")))</f>
        <v>Slightly above average</v>
      </c>
      <c r="E36" s="19" t="str">
        <f>IF(B36="","",IF(B36&lt;=35,"Energy use is optimal.",IF(B36&lt;=45,"Optimize heating, lighting, and equipment operation.","Review room-level energy consumption and improve controls.")))</f>
        <v>Optimize heating, lighting, and equipment operation.</v>
      </c>
      <c r="G36" s="69" t="s">
        <v>69</v>
      </c>
      <c r="H36" s="19" t="s">
        <v>164</v>
      </c>
      <c r="I36" s="88" t="s">
        <v>165</v>
      </c>
      <c r="J36" s="19" t="s">
        <v>168</v>
      </c>
      <c r="K36" s="19" t="s">
        <v>327</v>
      </c>
      <c r="L36" s="19" t="s">
        <v>329</v>
      </c>
    </row>
    <row r="37" spans="1:14" ht="52.9" customHeight="1" x14ac:dyDescent="0.25">
      <c r="A37" s="69" t="s">
        <v>70</v>
      </c>
      <c r="B37" s="73">
        <f>D29*1000/E4</f>
        <v>34.611805555555556</v>
      </c>
      <c r="C37" s="8" t="s">
        <v>161</v>
      </c>
      <c r="D37" s="8" t="str">
        <f>IF(B37="","",IF(B37&lt;=15,"Low emissions",IF(B37&lt;=25,"Moderate emissions","High emissions")))</f>
        <v>High emissions</v>
      </c>
      <c r="E37" s="19" t="str">
        <f>IF(B37="","",IF(B37&lt;=15,"Emissions are within expected limits.",IF(B37&lt;=25,"Consider partial transition to renewable sources.","Reduce fossil fuel use and upgrade to low-carbon technologies.")))</f>
        <v>Reduce fossil fuel use and upgrade to low-carbon technologies.</v>
      </c>
      <c r="G37" s="69" t="s">
        <v>70</v>
      </c>
      <c r="H37" s="19" t="s">
        <v>161</v>
      </c>
      <c r="I37" s="88" t="s">
        <v>325</v>
      </c>
      <c r="J37" s="19" t="s">
        <v>169</v>
      </c>
      <c r="K37" s="19" t="s">
        <v>328</v>
      </c>
      <c r="L37" s="19" t="s">
        <v>331</v>
      </c>
    </row>
    <row r="38" spans="1:14" ht="43.15" customHeight="1" x14ac:dyDescent="0.25">
      <c r="A38" s="69" t="s">
        <v>71</v>
      </c>
      <c r="B38" s="73">
        <f>IF(B33&gt;0,D29*1000/B33,"")</f>
        <v>12.137838660578387</v>
      </c>
      <c r="C38" s="8" t="s">
        <v>162</v>
      </c>
      <c r="D38" s="19" t="str">
        <f>IF(B38="","",IF(B38&lt;=5,"Low emissions",IF(B38&lt;=10,"Above average","High emissions per room-night")))</f>
        <v>High emissions per room-night</v>
      </c>
      <c r="E38" s="19" t="str">
        <f>IF(B38="","",IF(B38&lt;=5,"Emissions are well controlled.",IF(B38&lt;=10,"Consider renewable electricity or carbon offsetting.","Develop a carbon-reduction plan and improve energy efficiency.")))</f>
        <v>Develop a carbon-reduction plan and improve energy efficiency.</v>
      </c>
      <c r="G38" s="69" t="s">
        <v>71</v>
      </c>
      <c r="H38" s="19" t="s">
        <v>162</v>
      </c>
      <c r="I38" s="88" t="s">
        <v>166</v>
      </c>
      <c r="J38" s="19" t="s">
        <v>170</v>
      </c>
      <c r="K38" s="103">
        <v>43374</v>
      </c>
      <c r="L38" s="19" t="s">
        <v>332</v>
      </c>
    </row>
    <row r="39" spans="1:14" x14ac:dyDescent="0.25">
      <c r="A39" s="46"/>
    </row>
    <row r="40" spans="1:14" ht="28.9" customHeight="1" x14ac:dyDescent="0.25">
      <c r="A40" s="151" t="s">
        <v>72</v>
      </c>
      <c r="B40" s="151"/>
      <c r="C40" s="151"/>
      <c r="D40" s="49"/>
      <c r="E40" s="50"/>
      <c r="G40" s="84"/>
      <c r="H40" s="86"/>
      <c r="I40" s="87"/>
      <c r="J40" s="86"/>
      <c r="K40" s="123" t="s">
        <v>346</v>
      </c>
      <c r="L40" s="124" t="s">
        <v>347</v>
      </c>
      <c r="M40" s="124" t="s">
        <v>348</v>
      </c>
      <c r="N40" s="125" t="s">
        <v>349</v>
      </c>
    </row>
    <row r="41" spans="1:14" ht="43.15" customHeight="1" x14ac:dyDescent="0.25">
      <c r="A41" s="14"/>
      <c r="B41" s="114" t="s">
        <v>335</v>
      </c>
      <c r="C41" s="114" t="s">
        <v>336</v>
      </c>
      <c r="D41" s="114" t="s">
        <v>337</v>
      </c>
      <c r="E41" s="114" t="s">
        <v>334</v>
      </c>
      <c r="F41" s="114" t="s">
        <v>353</v>
      </c>
      <c r="G41" s="141" t="s">
        <v>354</v>
      </c>
      <c r="H41" s="139" t="s">
        <v>340</v>
      </c>
      <c r="I41" s="135"/>
      <c r="J41" s="137" t="s">
        <v>352</v>
      </c>
      <c r="K41" s="126" t="s">
        <v>350</v>
      </c>
      <c r="L41" s="127"/>
      <c r="M41" s="127"/>
      <c r="N41" s="128"/>
    </row>
    <row r="42" spans="1:14" ht="28.9" customHeight="1" x14ac:dyDescent="0.25">
      <c r="A42" s="93" t="s">
        <v>68</v>
      </c>
      <c r="B42" s="116">
        <f>B35</f>
        <v>118.05555555555556</v>
      </c>
      <c r="C42" s="78"/>
      <c r="D42" s="78"/>
      <c r="E42" s="1"/>
      <c r="F42" s="53">
        <f>IF(B42="","",IF(B42&lt;=L42,100,IF(B42&lt;=M42,100-(B42-L42)*(20/(M42-L42)),IF(B42&lt;=N42,80-(B42-M42)*(40/(N42-M42)),20))))</f>
        <v>81.296296296296305</v>
      </c>
      <c r="G42" s="143">
        <f>IF(OR(F42="",F43=""),"",AVERAGE(F42,F43)*$I$42)</f>
        <v>21.061960933536277</v>
      </c>
      <c r="H42" s="140" t="s">
        <v>341</v>
      </c>
      <c r="I42" s="136">
        <v>0.25</v>
      </c>
      <c r="J42" s="137"/>
      <c r="K42" s="129" t="s">
        <v>68</v>
      </c>
      <c r="L42" s="130">
        <v>90</v>
      </c>
      <c r="M42" s="130">
        <v>120</v>
      </c>
      <c r="N42" s="131">
        <v>200</v>
      </c>
    </row>
    <row r="43" spans="1:14" ht="28.9" customHeight="1" x14ac:dyDescent="0.25">
      <c r="A43" s="93" t="s">
        <v>69</v>
      </c>
      <c r="B43" s="116">
        <f>B36</f>
        <v>41.400304414003045</v>
      </c>
      <c r="C43" s="78"/>
      <c r="D43" s="78"/>
      <c r="E43" s="1"/>
      <c r="F43" s="53">
        <f>IF(B43="","",IF(B43&lt;=L43,100,IF(B43&lt;=M43,100-(B43-L43)*(20/(M43-L43)),IF(B43&lt;=N43,80-(B43-M43)*(40/(N43-M43)),20))))</f>
        <v>87.199391171993909</v>
      </c>
      <c r="G43" s="143" t="str">
        <f xml:space="preserve"> ""</f>
        <v/>
      </c>
      <c r="H43" s="140" t="s">
        <v>342</v>
      </c>
      <c r="I43" s="136">
        <v>0</v>
      </c>
      <c r="J43" s="138">
        <v>0.2</v>
      </c>
      <c r="K43" s="129" t="s">
        <v>69</v>
      </c>
      <c r="L43" s="130">
        <v>35</v>
      </c>
      <c r="M43" s="130">
        <v>45</v>
      </c>
      <c r="N43" s="131">
        <v>60</v>
      </c>
    </row>
    <row r="44" spans="1:14" ht="41.45" customHeight="1" x14ac:dyDescent="0.25">
      <c r="A44" s="93" t="s">
        <v>70</v>
      </c>
      <c r="B44" s="116">
        <f>B36</f>
        <v>41.400304414003045</v>
      </c>
      <c r="C44" s="1"/>
      <c r="D44" s="1"/>
      <c r="E44" s="118"/>
      <c r="F44" s="53">
        <f>IF(B44="","",IF(B44&lt;=L44,100,IF(B44&lt;=M44,100-(B44-L44)*(20/(M44-L44)),IF(B44&lt;=N44,80-(B44-M44)*(40/(N44-M44)),20))))</f>
        <v>53.759512937595126</v>
      </c>
      <c r="G44" s="143">
        <f>IF(OR(F44="",F45=""),"",AVERAGE(F44,F45)*$I$44)</f>
        <v>9.2199391171993916</v>
      </c>
      <c r="H44" s="140" t="s">
        <v>343</v>
      </c>
      <c r="I44" s="136">
        <v>0.25</v>
      </c>
      <c r="J44" s="138"/>
      <c r="K44" s="129" t="s">
        <v>70</v>
      </c>
      <c r="L44" s="130">
        <v>15</v>
      </c>
      <c r="M44" s="130">
        <v>25</v>
      </c>
      <c r="N44" s="131">
        <v>50</v>
      </c>
    </row>
    <row r="45" spans="1:14" ht="45" x14ac:dyDescent="0.25">
      <c r="A45" s="93" t="s">
        <v>71</v>
      </c>
      <c r="B45" s="116">
        <f>B37</f>
        <v>34.611805555555556</v>
      </c>
      <c r="C45" s="1"/>
      <c r="D45" s="1"/>
      <c r="E45" s="118"/>
      <c r="F45" s="53">
        <f>IF(B45="","",IF(B45&lt;=L45,100,IF(B45&lt;=M45,100-(B45-L45)*(20/(M45-L45)),IF(B45&lt;=N45,80-(B45-M45)*(40/(N45-M45)),20))))</f>
        <v>20</v>
      </c>
      <c r="G45" s="144" t="str">
        <f xml:space="preserve"> ""</f>
        <v/>
      </c>
      <c r="H45" s="140" t="s">
        <v>344</v>
      </c>
      <c r="I45" s="136">
        <v>0</v>
      </c>
      <c r="J45" s="138">
        <v>0.15</v>
      </c>
      <c r="K45" s="129" t="s">
        <v>71</v>
      </c>
      <c r="L45" s="130">
        <v>5</v>
      </c>
      <c r="M45" s="130">
        <v>12</v>
      </c>
      <c r="N45" s="131">
        <v>20</v>
      </c>
    </row>
    <row r="46" spans="1:14" ht="39.6" customHeight="1" thickBot="1" x14ac:dyDescent="0.3">
      <c r="A46" s="93" t="s">
        <v>338</v>
      </c>
      <c r="B46" s="117">
        <f>E15</f>
        <v>0</v>
      </c>
      <c r="C46" s="117">
        <f>F15</f>
        <v>0</v>
      </c>
      <c r="D46" s="117">
        <f>G15</f>
        <v>15</v>
      </c>
      <c r="E46" s="118"/>
      <c r="F46" s="53">
        <f>IF(B46="","",IF(B46&gt;=L46,100,IF(B46&gt;=M46,90-(L46-B46)*(15/(L46-M46)),IF(B46&gt;=N46,75-(M46-B46)*(25/(M46-N46)),25))))</f>
        <v>25</v>
      </c>
      <c r="G46" s="146">
        <f>IF(F46="","",F46*$I$46)</f>
        <v>3.75</v>
      </c>
      <c r="H46" s="140" t="s">
        <v>345</v>
      </c>
      <c r="I46" s="136">
        <v>0.15</v>
      </c>
      <c r="J46" s="138"/>
      <c r="K46" s="132" t="s">
        <v>351</v>
      </c>
      <c r="L46" s="133">
        <v>80</v>
      </c>
      <c r="M46" s="133">
        <v>60</v>
      </c>
      <c r="N46" s="134">
        <v>10</v>
      </c>
    </row>
    <row r="47" spans="1:14" ht="28.9" customHeight="1" x14ac:dyDescent="0.25">
      <c r="A47" s="142"/>
      <c r="B47" s="115"/>
      <c r="C47" s="115"/>
      <c r="D47" s="115"/>
      <c r="E47" s="119"/>
      <c r="F47" s="145"/>
      <c r="G47" s="147">
        <f>IF(SUM($I$42,$I$44,$I$46)=0,"",ROUND((G42+G44+G46)/SUM($I$42,$I$44,$I$46),0))</f>
        <v>52</v>
      </c>
    </row>
    <row r="48" spans="1:14" ht="25.9" customHeight="1" thickBot="1" x14ac:dyDescent="0.3">
      <c r="G48" s="148" t="str">
        <f>IF(G47="","",IF(G47&gt;=91,"Platinum",IF(G47&gt;=76,"Gold",IF(G47&gt;=51,"Silver",IF(G47&gt;=26,"Bronze","Basic")))))</f>
        <v>Silver</v>
      </c>
    </row>
    <row r="49" spans="1:8" x14ac:dyDescent="0.25">
      <c r="A49" s="46"/>
    </row>
    <row r="50" spans="1:8" ht="28.9" customHeight="1" x14ac:dyDescent="0.25">
      <c r="E50" s="153"/>
      <c r="F50" s="153"/>
    </row>
    <row r="51" spans="1:8" ht="43.15" customHeight="1" x14ac:dyDescent="0.25">
      <c r="A51" s="157" t="s">
        <v>76</v>
      </c>
      <c r="B51" s="157"/>
      <c r="C51" s="157"/>
      <c r="D51" s="157"/>
      <c r="E51" s="153"/>
      <c r="F51" s="153"/>
    </row>
    <row r="52" spans="1:8" ht="28.9" customHeight="1" x14ac:dyDescent="0.25">
      <c r="A52" s="92" t="s">
        <v>77</v>
      </c>
      <c r="B52" s="92" t="s">
        <v>78</v>
      </c>
      <c r="C52" s="92" t="s">
        <v>79</v>
      </c>
      <c r="D52" s="93" t="s">
        <v>80</v>
      </c>
      <c r="E52" s="153"/>
      <c r="F52" s="153"/>
    </row>
    <row r="53" spans="1:8" ht="28.9" customHeight="1" x14ac:dyDescent="0.25">
      <c r="A53" s="19" t="s">
        <v>81</v>
      </c>
      <c r="B53" s="19" t="s">
        <v>82</v>
      </c>
      <c r="C53" s="19" t="s">
        <v>83</v>
      </c>
      <c r="D53" s="19" t="s">
        <v>84</v>
      </c>
      <c r="E53" s="153"/>
      <c r="F53" s="153"/>
    </row>
    <row r="54" spans="1:8" ht="64.150000000000006" customHeight="1" x14ac:dyDescent="0.25">
      <c r="A54" s="19" t="s">
        <v>85</v>
      </c>
      <c r="B54" s="19" t="s">
        <v>86</v>
      </c>
      <c r="C54" s="19" t="s">
        <v>87</v>
      </c>
      <c r="D54" s="19" t="s">
        <v>88</v>
      </c>
      <c r="E54" s="153"/>
      <c r="F54" s="153"/>
    </row>
    <row r="55" spans="1:8" ht="94.9" customHeight="1" x14ac:dyDescent="0.25">
      <c r="A55" s="19" t="s">
        <v>89</v>
      </c>
      <c r="B55" s="19" t="s">
        <v>90</v>
      </c>
      <c r="C55" s="19" t="s">
        <v>91</v>
      </c>
      <c r="D55" s="19" t="s">
        <v>92</v>
      </c>
      <c r="E55" s="153"/>
      <c r="F55" s="153"/>
    </row>
    <row r="56" spans="1:8" ht="94.9" customHeight="1" x14ac:dyDescent="0.25">
      <c r="A56" s="19" t="s">
        <v>93</v>
      </c>
      <c r="B56" s="19" t="s">
        <v>94</v>
      </c>
      <c r="C56" s="19" t="s">
        <v>95</v>
      </c>
      <c r="D56" s="19" t="s">
        <v>96</v>
      </c>
      <c r="E56" s="153"/>
      <c r="F56" s="153"/>
    </row>
    <row r="57" spans="1:8" ht="66" customHeight="1" x14ac:dyDescent="0.25">
      <c r="A57" s="19" t="s">
        <v>97</v>
      </c>
      <c r="B57" s="19" t="s">
        <v>98</v>
      </c>
      <c r="C57" s="19" t="s">
        <v>99</v>
      </c>
      <c r="D57" s="19" t="s">
        <v>100</v>
      </c>
      <c r="E57" s="153"/>
      <c r="F57" s="153"/>
    </row>
    <row r="58" spans="1:8" x14ac:dyDescent="0.25">
      <c r="E58" s="153"/>
      <c r="F58" s="153"/>
    </row>
    <row r="59" spans="1:8" ht="31.9" customHeight="1" x14ac:dyDescent="0.25">
      <c r="A59" s="152" t="s">
        <v>80</v>
      </c>
      <c r="B59" s="152"/>
      <c r="C59" s="152"/>
      <c r="D59" s="152"/>
      <c r="E59" s="153"/>
      <c r="F59" s="153"/>
    </row>
    <row r="60" spans="1:8" ht="28.15" customHeight="1" x14ac:dyDescent="0.25">
      <c r="A60" s="20" t="s">
        <v>102</v>
      </c>
      <c r="B60" s="2" t="s">
        <v>103</v>
      </c>
      <c r="C60" s="2" t="s">
        <v>104</v>
      </c>
      <c r="D60" s="2" t="s">
        <v>105</v>
      </c>
      <c r="E60" s="94" t="s">
        <v>106</v>
      </c>
      <c r="F60" s="95"/>
      <c r="G60" s="6" t="s">
        <v>107</v>
      </c>
      <c r="H60" s="30" t="s">
        <v>22</v>
      </c>
    </row>
    <row r="61" spans="1:8" ht="45" x14ac:dyDescent="0.25">
      <c r="A61" s="41"/>
      <c r="B61" s="12" t="s">
        <v>108</v>
      </c>
      <c r="C61" s="13" t="s">
        <v>109</v>
      </c>
      <c r="D61" s="19">
        <v>100</v>
      </c>
      <c r="E61" s="96" t="s">
        <v>110</v>
      </c>
      <c r="F61" s="42"/>
      <c r="G61" s="19">
        <f>D61</f>
        <v>100</v>
      </c>
      <c r="H61" s="31" t="str">
        <f>IF(D61="","",IF(D61&gt;=90,"Excellent",IF(D61&gt;=70,"Very good",IF(D61&gt;=50,"Sufficient",IF(D61&gt;=30,"Weak","Insufficient")))))</f>
        <v>Excellent</v>
      </c>
    </row>
    <row r="62" spans="1:8" ht="30" x14ac:dyDescent="0.25">
      <c r="A62" s="32"/>
      <c r="B62" s="12" t="s">
        <v>111</v>
      </c>
      <c r="C62" s="13" t="s">
        <v>112</v>
      </c>
      <c r="D62" s="19">
        <v>50</v>
      </c>
      <c r="E62" s="96" t="s">
        <v>248</v>
      </c>
      <c r="F62" s="42"/>
      <c r="G62" s="19">
        <f>D62</f>
        <v>50</v>
      </c>
      <c r="H62" s="31" t="str">
        <f>IF(D62="","",IF(D62&gt;=90,"Excellent",IF(D62&gt;=70,"Very good",IF(D62&gt;=50,"Sufficient",IF(D62&gt;=30,"Weak","Insufficient")))))</f>
        <v>Sufficient</v>
      </c>
    </row>
    <row r="63" spans="1:8" ht="45" x14ac:dyDescent="0.25">
      <c r="A63" s="32"/>
      <c r="B63" s="12" t="s">
        <v>113</v>
      </c>
      <c r="C63" s="13" t="s">
        <v>114</v>
      </c>
      <c r="D63" s="19">
        <v>70</v>
      </c>
      <c r="E63" s="96"/>
      <c r="F63" s="42"/>
      <c r="G63" s="19">
        <f>D63</f>
        <v>70</v>
      </c>
      <c r="H63" s="31" t="str">
        <f>IF(D63="","",IF(D63&gt;=90,"Excellent",IF(D63&gt;=70,"Very good",IF(D63&gt;=50,"Sufficient",IF(D63&gt;=30,"Weak","Insufficient")))))</f>
        <v>Very good</v>
      </c>
    </row>
    <row r="64" spans="1:8" ht="60" x14ac:dyDescent="0.25">
      <c r="A64" s="32"/>
      <c r="B64" s="12" t="s">
        <v>115</v>
      </c>
      <c r="C64" s="13" t="s">
        <v>116</v>
      </c>
      <c r="D64" s="19">
        <v>10</v>
      </c>
      <c r="E64" s="96"/>
      <c r="F64" s="42"/>
      <c r="G64" s="19">
        <f>D64</f>
        <v>10</v>
      </c>
      <c r="H64" s="31" t="str">
        <f>IF(D64="","",IF(D64&gt;=90,"Excellent",IF(D64&gt;=70,"Very good",IF(D64&gt;=50,"Sufficient",IF(D64&gt;=30,"Weak","Insufficient")))))</f>
        <v>Insufficient</v>
      </c>
    </row>
    <row r="65" spans="1:8" ht="45" x14ac:dyDescent="0.25">
      <c r="A65" s="41"/>
      <c r="B65" s="12" t="s">
        <v>117</v>
      </c>
      <c r="C65" s="13" t="s">
        <v>118</v>
      </c>
      <c r="D65" s="19">
        <v>30</v>
      </c>
      <c r="E65" s="96"/>
      <c r="F65" s="42"/>
      <c r="G65" s="19">
        <f>D65</f>
        <v>30</v>
      </c>
      <c r="H65" s="31" t="str">
        <f>IF(D65="","",IF(D65&gt;=90,"Excellent",IF(D65&gt;=70,"Very good",IF(D65&gt;=50,"Sufficient",IF(D65&gt;=30,"Weak","Insufficient")))))</f>
        <v>Weak</v>
      </c>
    </row>
    <row r="66" spans="1:8" ht="60" x14ac:dyDescent="0.25">
      <c r="A66" s="41"/>
      <c r="B66" s="12" t="s">
        <v>119</v>
      </c>
      <c r="C66" s="13" t="s">
        <v>120</v>
      </c>
      <c r="D66" s="19"/>
      <c r="E66" s="96"/>
      <c r="F66" s="42"/>
      <c r="G66" s="19">
        <f>D66</f>
        <v>0</v>
      </c>
      <c r="H66" s="31" t="str">
        <f>IF(D66="","",IF(D66&gt;=90,"Excellent",IF(D66&gt;=70,"Very good",IF(D66&gt;=50,"Sufficient",IF(D66&gt;=30,"Weak","Insufficient")))))</f>
        <v/>
      </c>
    </row>
    <row r="67" spans="1:8" ht="45" x14ac:dyDescent="0.25">
      <c r="A67" s="41"/>
      <c r="B67" s="24" t="s">
        <v>121</v>
      </c>
      <c r="C67" s="22" t="s">
        <v>122</v>
      </c>
      <c r="D67" s="29"/>
      <c r="E67" s="96"/>
      <c r="F67" s="42"/>
      <c r="G67" s="19">
        <f>D67</f>
        <v>0</v>
      </c>
      <c r="H67" s="31" t="str">
        <f>IF(D67="","",IF(D67&gt;=90,"Excellent",IF(D67&gt;=70,"Very good",IF(D67&gt;=50,"Sufficient",IF(D67&gt;=30,"Weak","Insufficient")))))</f>
        <v/>
      </c>
    </row>
    <row r="68" spans="1:8" x14ac:dyDescent="0.25">
      <c r="A68" s="41"/>
      <c r="B68" s="24" t="s">
        <v>123</v>
      </c>
      <c r="C68" s="22"/>
      <c r="D68" s="29"/>
      <c r="E68" s="96"/>
      <c r="F68" s="42"/>
      <c r="G68" s="19">
        <f>D68</f>
        <v>0</v>
      </c>
      <c r="H68" s="31" t="str">
        <f>IF(D68="","",IF(D68&gt;=90,"Excellent",IF(D68&gt;=70,"Very good",IF(D68&gt;=50,"Sufficient",IF(D68&gt;=30,"Weak","Insufficient")))))</f>
        <v/>
      </c>
    </row>
    <row r="69" spans="1:8" ht="45" x14ac:dyDescent="0.25">
      <c r="A69" s="21" t="s">
        <v>124</v>
      </c>
      <c r="B69" s="26" t="s">
        <v>125</v>
      </c>
      <c r="C69" s="13" t="s">
        <v>126</v>
      </c>
      <c r="D69" s="8"/>
      <c r="E69" s="97"/>
      <c r="F69" s="98"/>
      <c r="G69" s="19">
        <f>D69</f>
        <v>0</v>
      </c>
      <c r="H69" s="31" t="str">
        <f>IF(D69="","",IF(D69&gt;=90,"Excellent",IF(D69&gt;=70,"Very good",IF(D69&gt;=50,"Sufficient",IF(D69&gt;=30,"Weak","Insufficient")))))</f>
        <v/>
      </c>
    </row>
    <row r="70" spans="1:8" ht="75" x14ac:dyDescent="0.25">
      <c r="A70" s="33"/>
      <c r="B70" s="24" t="s">
        <v>127</v>
      </c>
      <c r="C70" s="23" t="s">
        <v>128</v>
      </c>
      <c r="D70" s="8"/>
      <c r="E70" s="97"/>
      <c r="F70" s="98"/>
      <c r="G70" s="19">
        <f>D70</f>
        <v>0</v>
      </c>
      <c r="H70" s="31" t="str">
        <f>IF(D70="","",IF(D70&gt;=90,"Excellent",IF(D70&gt;=70,"Very good",IF(D70&gt;=50,"Sufficient",IF(D70&gt;=30,"Weak","Insufficient")))))</f>
        <v/>
      </c>
    </row>
    <row r="71" spans="1:8" ht="105" x14ac:dyDescent="0.25">
      <c r="A71" s="33"/>
      <c r="B71" s="27"/>
      <c r="C71" s="25" t="s">
        <v>129</v>
      </c>
      <c r="D71" s="8"/>
      <c r="E71" s="97"/>
      <c r="F71" s="98"/>
      <c r="G71" s="19">
        <f>D71</f>
        <v>0</v>
      </c>
      <c r="H71" s="31" t="str">
        <f>IF(D71="","",IF(D71&gt;=90,"Excellent",IF(D71&gt;=70,"Very good",IF(D71&gt;=50,"Sufficient",IF(D71&gt;=30,"Weak","Insufficient")))))</f>
        <v/>
      </c>
    </row>
    <row r="72" spans="1:8" ht="45" x14ac:dyDescent="0.25">
      <c r="A72" s="33"/>
      <c r="B72" s="24" t="s">
        <v>130</v>
      </c>
      <c r="C72" s="23" t="s">
        <v>131</v>
      </c>
      <c r="D72" s="8"/>
      <c r="E72" s="97"/>
      <c r="F72" s="98"/>
      <c r="G72" s="19">
        <f>D72</f>
        <v>0</v>
      </c>
      <c r="H72" s="31" t="str">
        <f>IF(D72="","",IF(D72&gt;=90,"Excellent",IF(D72&gt;=70,"Very good",IF(D72&gt;=50,"Sufficient",IF(D72&gt;=30,"Weak","Insufficient")))))</f>
        <v/>
      </c>
    </row>
    <row r="73" spans="1:8" ht="60" x14ac:dyDescent="0.25">
      <c r="A73" s="33"/>
      <c r="B73" s="27"/>
      <c r="C73" s="23" t="s">
        <v>132</v>
      </c>
      <c r="D73" s="8"/>
      <c r="E73" s="97"/>
      <c r="F73" s="98"/>
      <c r="G73" s="19">
        <f>D73</f>
        <v>0</v>
      </c>
      <c r="H73" s="31" t="str">
        <f>IF(D73="","",IF(D73&gt;=90,"Excellent",IF(D73&gt;=70,"Very good",IF(D73&gt;=50,"Sufficient",IF(D73&gt;=30,"Weak","Insufficient")))))</f>
        <v/>
      </c>
    </row>
    <row r="74" spans="1:8" ht="75" x14ac:dyDescent="0.25">
      <c r="A74" s="33"/>
      <c r="B74" s="24" t="s">
        <v>133</v>
      </c>
      <c r="C74" s="23" t="s">
        <v>134</v>
      </c>
      <c r="D74" s="8"/>
      <c r="E74" s="97"/>
      <c r="F74" s="98"/>
      <c r="G74" s="19">
        <f>D74</f>
        <v>0</v>
      </c>
      <c r="H74" s="31" t="str">
        <f>IF(D74="","",IF(D74&gt;=90,"Excellent",IF(D74&gt;=70,"Very good",IF(D74&gt;=50,"Sufficient",IF(D74&gt;=30,"Weak","Insufficient")))))</f>
        <v/>
      </c>
    </row>
    <row r="75" spans="1:8" ht="45" x14ac:dyDescent="0.25">
      <c r="A75" s="33"/>
      <c r="B75" s="27"/>
      <c r="C75" s="23" t="s">
        <v>135</v>
      </c>
      <c r="D75" s="8"/>
      <c r="E75" s="97"/>
      <c r="F75" s="98"/>
      <c r="G75" s="19">
        <f>D75</f>
        <v>0</v>
      </c>
      <c r="H75" s="31" t="str">
        <f>IF(D75="","",IF(D75&gt;=90,"Excellent",IF(D75&gt;=70,"Very good",IF(D75&gt;=50,"Sufficient",IF(D75&gt;=30,"Weak","Insufficient")))))</f>
        <v/>
      </c>
    </row>
    <row r="76" spans="1:8" ht="90" x14ac:dyDescent="0.25">
      <c r="A76" s="33"/>
      <c r="B76" s="24" t="s">
        <v>136</v>
      </c>
      <c r="C76" s="23" t="s">
        <v>137</v>
      </c>
      <c r="D76" s="8"/>
      <c r="E76" s="97"/>
      <c r="F76" s="98"/>
      <c r="G76" s="19">
        <f>D76</f>
        <v>0</v>
      </c>
      <c r="H76" s="31" t="str">
        <f>IF(D76="","",IF(D76&gt;=90,"Excellent",IF(D76&gt;=70,"Very good",IF(D76&gt;=50,"Sufficient",IF(D76&gt;=30,"Weak","Insufficient")))))</f>
        <v/>
      </c>
    </row>
    <row r="77" spans="1:8" ht="105" x14ac:dyDescent="0.25">
      <c r="A77" s="33"/>
      <c r="B77" s="28"/>
      <c r="C77" s="23" t="s">
        <v>138</v>
      </c>
      <c r="D77" s="8"/>
      <c r="E77" s="97"/>
      <c r="F77" s="98"/>
      <c r="G77" s="19">
        <f>D77</f>
        <v>0</v>
      </c>
      <c r="H77" s="31" t="str">
        <f>IF(D77="","",IF(D77&gt;=90,"Excellent",IF(D77&gt;=70,"Very good",IF(D77&gt;=50,"Sufficient",IF(D77&gt;=30,"Weak","Insufficient")))))</f>
        <v/>
      </c>
    </row>
    <row r="78" spans="1:8" ht="60" x14ac:dyDescent="0.25">
      <c r="A78" s="34"/>
      <c r="B78" s="26" t="s">
        <v>139</v>
      </c>
      <c r="C78" s="99" t="s">
        <v>140</v>
      </c>
      <c r="D78" s="8"/>
      <c r="E78" s="97"/>
      <c r="F78" s="98"/>
      <c r="G78" s="19">
        <f>D78</f>
        <v>0</v>
      </c>
      <c r="H78" s="31" t="str">
        <f>IF(D78="","",IF(D78&gt;=90,"Excellent",IF(D78&gt;=70,"Very good",IF(D78&gt;=50,"Sufficient",IF(D78&gt;=30,"Weak","Insufficient")))))</f>
        <v/>
      </c>
    </row>
    <row r="79" spans="1:8" ht="75" x14ac:dyDescent="0.25">
      <c r="A79" s="33"/>
      <c r="B79" s="27"/>
      <c r="C79" s="23" t="s">
        <v>141</v>
      </c>
      <c r="D79" s="8"/>
      <c r="E79" s="97"/>
      <c r="F79" s="98"/>
      <c r="G79" s="19">
        <f>D79</f>
        <v>0</v>
      </c>
      <c r="H79" s="31" t="str">
        <f>IF(D79="","",IF(D79&gt;=90,"Excellent",IF(D79&gt;=70,"Very good",IF(D79&gt;=50,"Sufficient",IF(D79&gt;=30,"Weak","Insufficient")))))</f>
        <v/>
      </c>
    </row>
    <row r="80" spans="1:8" x14ac:dyDescent="0.25">
      <c r="A80" s="35"/>
      <c r="B80" s="44" t="s">
        <v>123</v>
      </c>
      <c r="C80" s="23" t="s">
        <v>142</v>
      </c>
      <c r="D80" s="8"/>
      <c r="E80" s="149"/>
      <c r="F80" s="150"/>
      <c r="G80" s="19">
        <f>D80</f>
        <v>0</v>
      </c>
      <c r="H80" s="31" t="str">
        <f>IF(D80="","",IF(D80&gt;=90,"Excellent",IF(D80&gt;=70,"Very good",IF(D80&gt;=50,"Sufficient",IF(D80&gt;=30,"Weak","Insufficient")))))</f>
        <v/>
      </c>
    </row>
  </sheetData>
  <mergeCells count="22">
    <mergeCell ref="L3:N3"/>
    <mergeCell ref="A9:M9"/>
    <mergeCell ref="E20:I20"/>
    <mergeCell ref="A51:D51"/>
    <mergeCell ref="A17:C17"/>
    <mergeCell ref="A18:C18"/>
    <mergeCell ref="E50:F50"/>
    <mergeCell ref="E51:F51"/>
    <mergeCell ref="O27:Q28"/>
    <mergeCell ref="E30:M30"/>
    <mergeCell ref="E55:F55"/>
    <mergeCell ref="E56:F56"/>
    <mergeCell ref="E52:F52"/>
    <mergeCell ref="E58:F58"/>
    <mergeCell ref="E59:F59"/>
    <mergeCell ref="E53:F53"/>
    <mergeCell ref="E54:F54"/>
    <mergeCell ref="K27:M28"/>
    <mergeCell ref="E80:F80"/>
    <mergeCell ref="A40:C40"/>
    <mergeCell ref="A59:D59"/>
    <mergeCell ref="E57:F57"/>
  </mergeCells>
  <conditionalFormatting sqref="D35:D38">
    <cfRule type="containsText" dxfId="13" priority="2" operator="containsText" text="within typical">
      <formula>NOT(ISERROR(SEARCH("within typical",D35)))</formula>
    </cfRule>
    <cfRule type="containsText" dxfId="12" priority="3" operator="containsText" text="Low">
      <formula>NOT(ISERROR(SEARCH("Low",D35)))</formula>
    </cfRule>
    <cfRule type="containsText" dxfId="11" priority="4" operator="containsText" text="above average">
      <formula>NOT(ISERROR(SEARCH("above average",D35)))</formula>
    </cfRule>
    <cfRule type="containsText" dxfId="10" priority="5" operator="containsText" text="Moderate">
      <formula>NOT(ISERROR(SEARCH("Moderate",D35)))</formula>
    </cfRule>
    <cfRule type="containsText" dxfId="9" priority="6" operator="containsText" text="Slightly above">
      <formula>NOT(ISERROR(SEARCH("Slightly above",D35)))</formula>
    </cfRule>
    <cfRule type="containsText" dxfId="8" priority="7" operator="containsText" text="Slightly above, Moderate, Above average">
      <formula>NOT(ISERROR(SEARCH("Slightly above, Moderate, Above average",D35)))</formula>
    </cfRule>
    <cfRule type="containsText" dxfId="7" priority="8" operator="containsText" text="High">
      <formula>NOT(ISERROR(SEARCH("High",D35)))</formula>
    </cfRule>
    <cfRule type="containsText" dxfId="6" priority="9" operator="containsText" text="Within typical nebo Low emissions">
      <formula>NOT(ISERROR(SEARCH("Within typical nebo Low emissions",D35)))</formula>
    </cfRule>
    <cfRule type="iconSet" priority="10">
      <iconSet>
        <cfvo type="percent" val="0"/>
        <cfvo type="percent" val="33"/>
        <cfvo type="percent" val="67"/>
      </iconSet>
    </cfRule>
    <cfRule type="containsText" dxfId="5" priority="12" operator="containsText" text="Slightly above, Moderate, Above average">
      <formula>NOT(ISERROR(SEARCH("Slightly above, Moderate, Above average",D35)))</formula>
    </cfRule>
    <cfRule type="containsText" dxfId="4" priority="13" operator="containsText" text="Within typical nebo Low emissions">
      <formula>NOT(ISERROR(SEARCH("Within typical nebo Low emissions",D35)))</formula>
    </cfRule>
  </conditionalFormatting>
  <conditionalFormatting sqref="G51:G59">
    <cfRule type="colorScale" priority="16">
      <colorScale>
        <cfvo type="num" val="0"/>
        <cfvo type="num" val="50"/>
        <cfvo type="num" val="100"/>
        <color rgb="FFFF9999"/>
        <color rgb="FFFFFF99"/>
        <color rgb="FF99FF99"/>
      </colorScale>
    </cfRule>
  </conditionalFormatting>
  <conditionalFormatting sqref="G61:G8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1:O12">
    <cfRule type="cellIs" dxfId="3" priority="17" operator="greaterThan">
      <formula>0</formula>
    </cfRule>
    <cfRule type="cellIs" dxfId="2" priority="20" operator="lessThan">
      <formula>0</formula>
    </cfRule>
  </conditionalFormatting>
  <conditionalFormatting sqref="R11:R12">
    <cfRule type="cellIs" dxfId="1" priority="18" operator="greaterThan">
      <formula>0</formula>
    </cfRule>
    <cfRule type="cellIs" dxfId="0" priority="19" operator="lessThan">
      <formula>0</formula>
    </cfRule>
  </conditionalFormatting>
  <pageMargins left="0.7" right="0.7" top="0.75" bottom="0.75" header="0.3" footer="0.3"/>
  <pageSetup paperSize="9" orientation="portrait"/>
  <ignoredErrors>
    <ignoredError sqref="G44" formula="1"/>
  </ignoredError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54FF-EF34-4313-BB2E-4F1DF20A5DD6}">
  <dimension ref="A1:K73"/>
  <sheetViews>
    <sheetView workbookViewId="0">
      <pane ySplit="8" topLeftCell="A9" activePane="bottomLeft" state="frozen"/>
      <selection pane="bottomLeft" activeCell="A8" sqref="A8:F8"/>
    </sheetView>
  </sheetViews>
  <sheetFormatPr defaultRowHeight="15" x14ac:dyDescent="0.25"/>
  <cols>
    <col min="1" max="1" width="41.42578125" customWidth="1"/>
    <col min="2" max="2" width="19.7109375" customWidth="1"/>
    <col min="3" max="3" width="18.5703125" customWidth="1"/>
    <col min="4" max="4" width="18.28515625" customWidth="1"/>
    <col min="5" max="5" width="18" customWidth="1"/>
    <col min="6" max="6" width="17.7109375" customWidth="1"/>
    <col min="7" max="7" width="17" customWidth="1"/>
    <col min="9" max="9" width="10" customWidth="1"/>
  </cols>
  <sheetData>
    <row r="1" spans="1:11" ht="45" x14ac:dyDescent="0.25">
      <c r="A1" s="47" t="s">
        <v>0</v>
      </c>
      <c r="B1" s="48"/>
      <c r="C1" s="79" t="s">
        <v>158</v>
      </c>
      <c r="D1" s="80" t="s">
        <v>153</v>
      </c>
      <c r="E1" s="80" t="s">
        <v>151</v>
      </c>
      <c r="F1" s="80" t="s">
        <v>152</v>
      </c>
      <c r="G1" s="80" t="s">
        <v>154</v>
      </c>
      <c r="H1" s="81"/>
      <c r="I1" s="79" t="s">
        <v>155</v>
      </c>
      <c r="J1" s="80" t="s">
        <v>156</v>
      </c>
      <c r="K1" s="82" t="s">
        <v>157</v>
      </c>
    </row>
    <row r="2" spans="1:11" ht="15.75" thickBot="1" x14ac:dyDescent="0.3"/>
    <row r="3" spans="1:11" ht="45.75" thickBot="1" x14ac:dyDescent="0.3">
      <c r="A3" s="40" t="s">
        <v>1</v>
      </c>
      <c r="B3" s="15" t="s">
        <v>2</v>
      </c>
      <c r="C3" s="6" t="s">
        <v>3</v>
      </c>
      <c r="D3" s="6" t="s">
        <v>4</v>
      </c>
      <c r="E3" s="6" t="s">
        <v>5</v>
      </c>
      <c r="F3" s="6" t="s">
        <v>6</v>
      </c>
      <c r="H3" s="17" t="s">
        <v>7</v>
      </c>
      <c r="I3" s="18" t="s">
        <v>8</v>
      </c>
      <c r="J3" s="39" t="s">
        <v>9</v>
      </c>
    </row>
    <row r="4" spans="1:11" x14ac:dyDescent="0.25">
      <c r="A4" s="14" t="s">
        <v>144</v>
      </c>
      <c r="B4" s="42">
        <v>75</v>
      </c>
      <c r="C4" s="19">
        <v>365</v>
      </c>
      <c r="D4" s="19">
        <v>45</v>
      </c>
      <c r="E4" s="19">
        <v>4320</v>
      </c>
      <c r="F4" s="16">
        <f>(B4/100)*C4*D4</f>
        <v>12318.75</v>
      </c>
    </row>
    <row r="5" spans="1:11" x14ac:dyDescent="0.25">
      <c r="A5" s="14" t="s">
        <v>145</v>
      </c>
      <c r="B5" s="42">
        <v>75</v>
      </c>
      <c r="C5" s="19">
        <v>365</v>
      </c>
      <c r="D5" s="19">
        <v>45</v>
      </c>
      <c r="E5" s="19">
        <v>4320</v>
      </c>
      <c r="F5" s="16">
        <f>(B5/100)*C5*D5</f>
        <v>12318.75</v>
      </c>
    </row>
    <row r="6" spans="1:11" x14ac:dyDescent="0.25">
      <c r="A6" s="14" t="s">
        <v>146</v>
      </c>
      <c r="B6" s="42">
        <v>75</v>
      </c>
      <c r="C6" s="19">
        <v>365</v>
      </c>
      <c r="D6" s="19">
        <v>45</v>
      </c>
      <c r="E6" s="19">
        <v>4320</v>
      </c>
      <c r="F6" s="16">
        <f>(B6/100)*C6*D6</f>
        <v>12318.75</v>
      </c>
    </row>
    <row r="8" spans="1:11" ht="15.75" x14ac:dyDescent="0.25">
      <c r="A8" s="162" t="s">
        <v>177</v>
      </c>
      <c r="B8" s="153"/>
      <c r="C8" s="153"/>
      <c r="D8" s="153"/>
      <c r="E8" s="153"/>
      <c r="F8" s="153"/>
    </row>
    <row r="10" spans="1:11" s="45" customFormat="1" ht="30" x14ac:dyDescent="0.25">
      <c r="A10" s="113" t="s">
        <v>178</v>
      </c>
      <c r="B10" s="113" t="s">
        <v>179</v>
      </c>
      <c r="C10" s="113" t="s">
        <v>180</v>
      </c>
      <c r="D10" s="113" t="s">
        <v>181</v>
      </c>
      <c r="E10" s="113" t="s">
        <v>182</v>
      </c>
      <c r="F10" s="113" t="s">
        <v>42</v>
      </c>
    </row>
    <row r="11" spans="1:11" ht="45" x14ac:dyDescent="0.25">
      <c r="A11" s="44" t="s">
        <v>183</v>
      </c>
      <c r="B11" s="1">
        <v>0</v>
      </c>
      <c r="C11" s="1">
        <v>0</v>
      </c>
      <c r="D11" s="1">
        <f>MAX(B11-C11,0)</f>
        <v>0</v>
      </c>
      <c r="E11" s="1" t="str">
        <f>IF(B16&gt;0,B11/B16*100,"")</f>
        <v/>
      </c>
      <c r="F11" s="13" t="s">
        <v>184</v>
      </c>
    </row>
    <row r="12" spans="1:11" ht="75" x14ac:dyDescent="0.25">
      <c r="A12" s="44" t="s">
        <v>185</v>
      </c>
      <c r="B12" s="1">
        <v>0</v>
      </c>
      <c r="C12" s="1">
        <v>0</v>
      </c>
      <c r="D12" s="1">
        <f>MAX(B12-C12,0)</f>
        <v>0</v>
      </c>
      <c r="E12" s="1" t="str">
        <f>IF(B16&gt;0,B12/B16*100,"")</f>
        <v/>
      </c>
      <c r="F12" s="13" t="s">
        <v>186</v>
      </c>
    </row>
    <row r="13" spans="1:11" ht="60" x14ac:dyDescent="0.25">
      <c r="A13" s="44" t="s">
        <v>187</v>
      </c>
      <c r="B13" s="1">
        <v>0</v>
      </c>
      <c r="C13" s="1">
        <v>0</v>
      </c>
      <c r="D13" s="1">
        <f>MAX(B13-C13,0)</f>
        <v>0</v>
      </c>
      <c r="E13" s="1" t="str">
        <f>IF(B16&gt;0,B13/B16*100,"")</f>
        <v/>
      </c>
      <c r="F13" s="13" t="s">
        <v>188</v>
      </c>
    </row>
    <row r="14" spans="1:11" ht="60" x14ac:dyDescent="0.25">
      <c r="A14" s="44" t="s">
        <v>189</v>
      </c>
      <c r="B14" s="1">
        <v>0</v>
      </c>
      <c r="C14" s="1">
        <v>0</v>
      </c>
      <c r="D14" s="1">
        <f>MAX(B14-C14,0)</f>
        <v>0</v>
      </c>
      <c r="E14" s="1" t="str">
        <f>IF(B16&gt;0,B14/B16*100,"")</f>
        <v/>
      </c>
      <c r="F14" s="13" t="s">
        <v>190</v>
      </c>
    </row>
    <row r="15" spans="1:11" ht="45" x14ac:dyDescent="0.25">
      <c r="A15" s="44" t="s">
        <v>61</v>
      </c>
      <c r="B15" s="1">
        <v>0</v>
      </c>
      <c r="C15" s="1">
        <v>0</v>
      </c>
      <c r="D15" s="1">
        <f>MAX(B15-C15,0)</f>
        <v>0</v>
      </c>
      <c r="E15" s="1" t="str">
        <f>IF(B16&gt;0,B15/B16*100,"")</f>
        <v/>
      </c>
      <c r="F15" s="13" t="s">
        <v>191</v>
      </c>
    </row>
    <row r="16" spans="1:11" x14ac:dyDescent="0.25">
      <c r="A16" s="106" t="s">
        <v>192</v>
      </c>
      <c r="B16" s="107">
        <f>SUM(B11:B15)</f>
        <v>0</v>
      </c>
      <c r="C16" s="1"/>
      <c r="D16" s="1"/>
      <c r="E16" s="1"/>
      <c r="F16" s="44"/>
    </row>
    <row r="17" spans="1:6" x14ac:dyDescent="0.25">
      <c r="A17" s="106" t="s">
        <v>193</v>
      </c>
      <c r="B17" s="1"/>
      <c r="C17" s="107">
        <f>SUM(C11:C15)</f>
        <v>0</v>
      </c>
      <c r="D17" s="1"/>
      <c r="E17" s="1"/>
      <c r="F17" s="44"/>
    </row>
    <row r="18" spans="1:6" x14ac:dyDescent="0.25">
      <c r="A18" s="106" t="s">
        <v>194</v>
      </c>
      <c r="B18" s="1"/>
      <c r="C18" s="1"/>
      <c r="D18" s="107">
        <f>SUM(D11:D15)</f>
        <v>0</v>
      </c>
      <c r="E18" s="1"/>
      <c r="F18" s="44"/>
    </row>
    <row r="19" spans="1:6" x14ac:dyDescent="0.25">
      <c r="A19" s="1"/>
      <c r="B19" s="1"/>
      <c r="C19" s="1"/>
      <c r="D19" s="1"/>
      <c r="E19" s="1"/>
      <c r="F19" s="1"/>
    </row>
    <row r="20" spans="1:6" ht="120" x14ac:dyDescent="0.25">
      <c r="A20" s="106" t="s">
        <v>195</v>
      </c>
      <c r="B20" s="1">
        <v>0</v>
      </c>
      <c r="C20" s="1"/>
      <c r="D20" s="1"/>
      <c r="E20" s="1"/>
      <c r="F20" s="37" t="s">
        <v>196</v>
      </c>
    </row>
    <row r="21" spans="1:6" ht="90" x14ac:dyDescent="0.25">
      <c r="A21" s="106" t="s">
        <v>197</v>
      </c>
      <c r="B21" s="1"/>
      <c r="C21" s="1"/>
      <c r="D21" s="1"/>
      <c r="E21" s="1"/>
      <c r="F21" s="37" t="s">
        <v>198</v>
      </c>
    </row>
    <row r="23" spans="1:6" ht="105" x14ac:dyDescent="0.25">
      <c r="A23" s="108" t="s">
        <v>64</v>
      </c>
      <c r="B23" s="1"/>
      <c r="C23" s="1"/>
      <c r="D23" s="1"/>
      <c r="E23" s="1"/>
      <c r="F23" s="45" t="s">
        <v>199</v>
      </c>
    </row>
    <row r="24" spans="1:6" x14ac:dyDescent="0.25">
      <c r="A24" s="106" t="s">
        <v>66</v>
      </c>
      <c r="B24" s="1">
        <f>E4</f>
        <v>4320</v>
      </c>
      <c r="C24" s="1"/>
      <c r="D24" s="1"/>
      <c r="E24" s="1"/>
    </row>
    <row r="25" spans="1:6" x14ac:dyDescent="0.25">
      <c r="A25" s="106" t="s">
        <v>200</v>
      </c>
      <c r="B25" s="1">
        <f>F4</f>
        <v>12318.75</v>
      </c>
      <c r="C25" s="1"/>
      <c r="D25" s="1"/>
      <c r="E25" s="1"/>
    </row>
    <row r="26" spans="1:6" x14ac:dyDescent="0.25">
      <c r="A26" s="106" t="s">
        <v>201</v>
      </c>
      <c r="B26" s="1">
        <f>IF(B4&gt;0, F4*B4/100, "")</f>
        <v>9239.0625</v>
      </c>
      <c r="C26" s="1"/>
      <c r="D26" s="1"/>
      <c r="E26" s="1"/>
    </row>
    <row r="27" spans="1:6" x14ac:dyDescent="0.25">
      <c r="A27" s="44"/>
      <c r="B27" s="1"/>
      <c r="C27" s="1"/>
      <c r="D27" s="1"/>
      <c r="E27" s="1"/>
    </row>
    <row r="28" spans="1:6" x14ac:dyDescent="0.25">
      <c r="A28" s="106" t="s">
        <v>202</v>
      </c>
      <c r="B28" s="1">
        <f>IF(E4&gt;0, D18/E4, "")</f>
        <v>0</v>
      </c>
      <c r="C28" s="1"/>
      <c r="D28" s="1"/>
      <c r="E28" s="1"/>
    </row>
    <row r="29" spans="1:6" x14ac:dyDescent="0.25">
      <c r="A29" s="106" t="s">
        <v>203</v>
      </c>
      <c r="B29" s="1">
        <f>IF(B26&gt;0, D18*1000/B26, "")</f>
        <v>0</v>
      </c>
      <c r="C29" s="1"/>
      <c r="D29" s="1"/>
      <c r="E29" s="1"/>
    </row>
    <row r="30" spans="1:6" x14ac:dyDescent="0.25">
      <c r="A30" s="106" t="s">
        <v>204</v>
      </c>
      <c r="B30" s="1" t="str">
        <f>IF(B16&gt;0, (B14+B13)/B16*100, "")</f>
        <v/>
      </c>
      <c r="C30" s="1"/>
      <c r="D30" s="1"/>
      <c r="E30" s="1"/>
    </row>
    <row r="32" spans="1:6" ht="105" x14ac:dyDescent="0.25">
      <c r="A32" s="108" t="s">
        <v>72</v>
      </c>
      <c r="B32" s="1"/>
      <c r="C32" s="1"/>
      <c r="F32" s="45" t="s">
        <v>205</v>
      </c>
    </row>
    <row r="33" spans="1:5" x14ac:dyDescent="0.25">
      <c r="A33" s="106" t="s">
        <v>206</v>
      </c>
      <c r="B33" s="1">
        <v>553</v>
      </c>
      <c r="C33" s="1"/>
    </row>
    <row r="34" spans="1:5" x14ac:dyDescent="0.25">
      <c r="A34" s="106" t="s">
        <v>207</v>
      </c>
      <c r="B34" s="1">
        <v>350</v>
      </c>
      <c r="C34" s="1"/>
    </row>
    <row r="35" spans="1:5" x14ac:dyDescent="0.25">
      <c r="A35" s="106" t="s">
        <v>208</v>
      </c>
      <c r="B35" s="1">
        <v>550</v>
      </c>
      <c r="C35" s="1"/>
    </row>
    <row r="36" spans="1:5" x14ac:dyDescent="0.25">
      <c r="A36" s="106" t="s">
        <v>209</v>
      </c>
      <c r="B36" s="1">
        <v>750</v>
      </c>
      <c r="C36" s="1"/>
    </row>
    <row r="37" spans="1:5" x14ac:dyDescent="0.25">
      <c r="A37" s="106" t="s">
        <v>210</v>
      </c>
      <c r="B37" s="1" t="str">
        <f>IF(AND(B29&gt;0, B33&gt;0), (B29/B33-1)*100, "")</f>
        <v/>
      </c>
      <c r="C37" s="1" t="s">
        <v>37</v>
      </c>
    </row>
    <row r="39" spans="1:5" x14ac:dyDescent="0.25">
      <c r="A39" s="164" t="s">
        <v>73</v>
      </c>
      <c r="B39" s="164"/>
    </row>
    <row r="40" spans="1:5" x14ac:dyDescent="0.25">
      <c r="A40" s="106" t="s">
        <v>101</v>
      </c>
      <c r="B40" s="1">
        <f>MIN(10, COUNTIF(B11:B15,"&gt;0")*2)</f>
        <v>0</v>
      </c>
    </row>
    <row r="41" spans="1:5" x14ac:dyDescent="0.25">
      <c r="A41" s="106" t="s">
        <v>211</v>
      </c>
      <c r="B41" s="1">
        <f>IF(B29="",0, IF(B29&lt;=B34,40, IF(B29&lt;=B35,30, IF(B29&lt;=B36,20, 5))))</f>
        <v>40</v>
      </c>
    </row>
    <row r="42" spans="1:5" x14ac:dyDescent="0.25">
      <c r="A42" s="106" t="s">
        <v>212</v>
      </c>
      <c r="B42" s="1">
        <f>IF(B30="",0, IF(B30&gt;=20,20, IF(B30&gt;=10,14, IF(B30&gt;=5,8,2))))</f>
        <v>0</v>
      </c>
    </row>
    <row r="44" spans="1:5" x14ac:dyDescent="0.25">
      <c r="A44" s="163" t="s">
        <v>213</v>
      </c>
      <c r="B44" s="153"/>
      <c r="C44" s="153"/>
      <c r="D44" s="153"/>
      <c r="E44" s="153"/>
    </row>
    <row r="45" spans="1:5" x14ac:dyDescent="0.25">
      <c r="A45" s="120" t="s">
        <v>214</v>
      </c>
      <c r="B45" s="120" t="s">
        <v>215</v>
      </c>
      <c r="C45" s="120" t="s">
        <v>46</v>
      </c>
    </row>
    <row r="46" spans="1:5" ht="45" x14ac:dyDescent="0.25">
      <c r="A46" s="121" t="s">
        <v>216</v>
      </c>
      <c r="B46" s="122"/>
      <c r="C46" s="122" t="s">
        <v>217</v>
      </c>
    </row>
    <row r="47" spans="1:5" ht="60" x14ac:dyDescent="0.25">
      <c r="A47" s="121" t="s">
        <v>218</v>
      </c>
      <c r="B47" s="122"/>
      <c r="C47" s="122" t="s">
        <v>219</v>
      </c>
    </row>
    <row r="48" spans="1:5" ht="60" x14ac:dyDescent="0.25">
      <c r="A48" s="121" t="s">
        <v>220</v>
      </c>
      <c r="B48" s="122"/>
      <c r="C48" s="122" t="s">
        <v>221</v>
      </c>
    </row>
    <row r="49" spans="1:4" ht="45" x14ac:dyDescent="0.25">
      <c r="A49" s="121" t="s">
        <v>222</v>
      </c>
      <c r="B49" s="122"/>
      <c r="C49" s="122" t="s">
        <v>223</v>
      </c>
    </row>
    <row r="50" spans="1:4" ht="45" x14ac:dyDescent="0.25">
      <c r="A50" s="121" t="s">
        <v>224</v>
      </c>
      <c r="B50" s="122"/>
      <c r="C50" s="122" t="s">
        <v>225</v>
      </c>
    </row>
    <row r="51" spans="1:4" x14ac:dyDescent="0.25">
      <c r="A51" s="107" t="s">
        <v>226</v>
      </c>
      <c r="B51" s="1">
        <f>COUNTIF(B46:B50,"Yes")*6</f>
        <v>0</v>
      </c>
      <c r="C51" s="1"/>
    </row>
    <row r="53" spans="1:4" ht="15.75" x14ac:dyDescent="0.25">
      <c r="A53" s="100" t="s">
        <v>74</v>
      </c>
      <c r="B53">
        <f>B40+B41+B42+B51</f>
        <v>40</v>
      </c>
    </row>
    <row r="54" spans="1:4" ht="15.75" x14ac:dyDescent="0.25">
      <c r="A54" s="100" t="s">
        <v>75</v>
      </c>
      <c r="B54" t="str">
        <f>IF(B53&gt;=91,"Platinum", IF(B53&gt;=76,"Gold", IF(B53&gt;=51,"Silver", IF(B53&gt;=26,"Bronze","Basic"))))</f>
        <v>Bronze</v>
      </c>
    </row>
    <row r="57" spans="1:4" ht="15.75" x14ac:dyDescent="0.25">
      <c r="A57" s="102" t="s">
        <v>227</v>
      </c>
    </row>
    <row r="58" spans="1:4" ht="30" x14ac:dyDescent="0.25">
      <c r="A58" s="111" t="s">
        <v>77</v>
      </c>
      <c r="B58" s="112" t="s">
        <v>78</v>
      </c>
      <c r="C58" s="112" t="s">
        <v>79</v>
      </c>
      <c r="D58" s="112" t="s">
        <v>80</v>
      </c>
    </row>
    <row r="59" spans="1:4" ht="105" x14ac:dyDescent="0.25">
      <c r="A59" s="13" t="s">
        <v>81</v>
      </c>
      <c r="B59" s="37" t="s">
        <v>228</v>
      </c>
      <c r="C59" s="37" t="s">
        <v>321</v>
      </c>
      <c r="D59" s="37" t="s">
        <v>229</v>
      </c>
    </row>
    <row r="60" spans="1:4" ht="90" x14ac:dyDescent="0.25">
      <c r="A60" s="13" t="s">
        <v>85</v>
      </c>
      <c r="B60" s="37" t="s">
        <v>230</v>
      </c>
      <c r="C60" s="37" t="s">
        <v>231</v>
      </c>
      <c r="D60" s="37" t="s">
        <v>232</v>
      </c>
    </row>
    <row r="61" spans="1:4" ht="120" x14ac:dyDescent="0.25">
      <c r="A61" s="13" t="s">
        <v>89</v>
      </c>
      <c r="B61" s="37" t="s">
        <v>233</v>
      </c>
      <c r="C61" s="37" t="s">
        <v>322</v>
      </c>
      <c r="D61" s="37" t="s">
        <v>234</v>
      </c>
    </row>
    <row r="62" spans="1:4" ht="105" x14ac:dyDescent="0.25">
      <c r="A62" s="13" t="s">
        <v>93</v>
      </c>
      <c r="B62" s="37" t="s">
        <v>235</v>
      </c>
      <c r="C62" s="37" t="s">
        <v>323</v>
      </c>
      <c r="D62" s="37" t="s">
        <v>236</v>
      </c>
    </row>
    <row r="63" spans="1:4" ht="120" x14ac:dyDescent="0.25">
      <c r="A63" s="13" t="s">
        <v>97</v>
      </c>
      <c r="B63" s="37" t="s">
        <v>237</v>
      </c>
      <c r="C63" s="37" t="s">
        <v>238</v>
      </c>
      <c r="D63" s="37" t="s">
        <v>239</v>
      </c>
    </row>
    <row r="65" spans="1:1" ht="15.75" x14ac:dyDescent="0.25">
      <c r="A65" s="100" t="s">
        <v>240</v>
      </c>
    </row>
    <row r="67" spans="1:1" x14ac:dyDescent="0.25">
      <c r="A67" t="s">
        <v>241</v>
      </c>
    </row>
    <row r="68" spans="1:1" x14ac:dyDescent="0.25">
      <c r="A68" t="s">
        <v>242</v>
      </c>
    </row>
    <row r="69" spans="1:1" x14ac:dyDescent="0.25">
      <c r="A69" t="s">
        <v>243</v>
      </c>
    </row>
    <row r="70" spans="1:1" x14ac:dyDescent="0.25">
      <c r="A70" t="s">
        <v>244</v>
      </c>
    </row>
    <row r="71" spans="1:1" x14ac:dyDescent="0.25">
      <c r="A71" t="s">
        <v>245</v>
      </c>
    </row>
    <row r="72" spans="1:1" x14ac:dyDescent="0.25">
      <c r="A72" t="s">
        <v>246</v>
      </c>
    </row>
    <row r="73" spans="1:1" x14ac:dyDescent="0.25">
      <c r="A73" t="s">
        <v>247</v>
      </c>
    </row>
  </sheetData>
  <mergeCells count="3">
    <mergeCell ref="A8:F8"/>
    <mergeCell ref="A44:E44"/>
    <mergeCell ref="A39:B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54F6-B3F9-4C14-805E-8327F1BC6973}">
  <dimension ref="A1:K78"/>
  <sheetViews>
    <sheetView workbookViewId="0">
      <pane ySplit="8" topLeftCell="A9" activePane="bottomLeft" state="frozen"/>
      <selection pane="bottomLeft" activeCell="D53" sqref="D53"/>
    </sheetView>
  </sheetViews>
  <sheetFormatPr defaultRowHeight="15" x14ac:dyDescent="0.25"/>
  <cols>
    <col min="1" max="1" width="31.7109375" customWidth="1"/>
    <col min="2" max="2" width="21.28515625" customWidth="1"/>
    <col min="3" max="3" width="21.85546875" customWidth="1"/>
    <col min="4" max="4" width="25.42578125" customWidth="1"/>
    <col min="5" max="5" width="24" customWidth="1"/>
    <col min="6" max="6" width="18.7109375" customWidth="1"/>
    <col min="7" max="7" width="17.85546875" customWidth="1"/>
  </cols>
  <sheetData>
    <row r="1" spans="1:11" ht="33.75" x14ac:dyDescent="0.25">
      <c r="A1" s="47" t="s">
        <v>0</v>
      </c>
      <c r="B1" s="48"/>
      <c r="C1" s="79" t="s">
        <v>158</v>
      </c>
      <c r="D1" s="80" t="s">
        <v>153</v>
      </c>
      <c r="E1" s="80" t="s">
        <v>151</v>
      </c>
      <c r="F1" s="80" t="s">
        <v>152</v>
      </c>
      <c r="G1" s="80" t="s">
        <v>154</v>
      </c>
      <c r="H1" s="81"/>
      <c r="I1" s="79" t="s">
        <v>155</v>
      </c>
      <c r="J1" s="80" t="s">
        <v>156</v>
      </c>
      <c r="K1" s="82" t="s">
        <v>157</v>
      </c>
    </row>
    <row r="2" spans="1:11" ht="15.75" thickBot="1" x14ac:dyDescent="0.3"/>
    <row r="3" spans="1:11" ht="45.75" thickBot="1" x14ac:dyDescent="0.3">
      <c r="A3" s="40" t="s">
        <v>1</v>
      </c>
      <c r="B3" s="15" t="s">
        <v>2</v>
      </c>
      <c r="C3" s="6" t="s">
        <v>3</v>
      </c>
      <c r="D3" s="6" t="s">
        <v>4</v>
      </c>
      <c r="E3" s="6" t="s">
        <v>5</v>
      </c>
      <c r="F3" s="6" t="s">
        <v>6</v>
      </c>
      <c r="H3" s="17" t="s">
        <v>7</v>
      </c>
      <c r="I3" s="18" t="s">
        <v>8</v>
      </c>
      <c r="J3" s="39" t="s">
        <v>9</v>
      </c>
    </row>
    <row r="4" spans="1:11" x14ac:dyDescent="0.25">
      <c r="A4" s="14" t="s">
        <v>144</v>
      </c>
      <c r="B4" s="42">
        <v>75</v>
      </c>
      <c r="C4" s="19">
        <v>365</v>
      </c>
      <c r="D4" s="19">
        <v>45</v>
      </c>
      <c r="E4" s="19">
        <v>4320</v>
      </c>
      <c r="F4" s="16">
        <f>(B4/100)*C4*D4</f>
        <v>12318.75</v>
      </c>
    </row>
    <row r="5" spans="1:11" x14ac:dyDescent="0.25">
      <c r="A5" s="14" t="s">
        <v>145</v>
      </c>
      <c r="B5" s="42">
        <v>75</v>
      </c>
      <c r="C5" s="19">
        <v>365</v>
      </c>
      <c r="D5" s="19">
        <v>45</v>
      </c>
      <c r="E5" s="19">
        <v>4320</v>
      </c>
      <c r="F5" s="16">
        <f>(B5/100)*C5*D5</f>
        <v>12318.75</v>
      </c>
    </row>
    <row r="6" spans="1:11" x14ac:dyDescent="0.25">
      <c r="A6" s="14" t="s">
        <v>146</v>
      </c>
      <c r="B6" s="42">
        <v>75</v>
      </c>
      <c r="C6" s="19">
        <v>365</v>
      </c>
      <c r="D6" s="19">
        <v>45</v>
      </c>
      <c r="E6" s="19">
        <v>4320</v>
      </c>
      <c r="F6" s="16">
        <f>(B6/100)*C6*D6</f>
        <v>12318.75</v>
      </c>
    </row>
    <row r="8" spans="1:11" ht="15.75" x14ac:dyDescent="0.25">
      <c r="A8" s="162" t="s">
        <v>249</v>
      </c>
      <c r="B8" s="153"/>
      <c r="C8" s="153"/>
      <c r="D8" s="153"/>
      <c r="E8" s="153"/>
      <c r="F8" s="153"/>
      <c r="G8" s="153"/>
    </row>
    <row r="10" spans="1:11" x14ac:dyDescent="0.25">
      <c r="A10" s="109" t="s">
        <v>250</v>
      </c>
      <c r="B10" s="109" t="s">
        <v>251</v>
      </c>
      <c r="C10" s="109" t="s">
        <v>252</v>
      </c>
      <c r="D10" s="109" t="s">
        <v>253</v>
      </c>
      <c r="E10" s="109" t="s">
        <v>254</v>
      </c>
      <c r="F10" s="109" t="s">
        <v>255</v>
      </c>
      <c r="G10" s="109" t="s">
        <v>42</v>
      </c>
    </row>
    <row r="11" spans="1:11" ht="75" x14ac:dyDescent="0.25">
      <c r="A11" s="1" t="s">
        <v>256</v>
      </c>
      <c r="B11" s="1">
        <v>0</v>
      </c>
      <c r="C11" s="1"/>
      <c r="D11" s="1">
        <f t="shared" ref="D11:D17" si="0">IFERROR(IF(ISNUMBER(SEARCH("recycl",C11)),B11,0),0)</f>
        <v>0</v>
      </c>
      <c r="E11" s="1">
        <f t="shared" ref="E11:E17" si="1">IFERROR(IF(OR(ISNUMBER(SEARCH("recycl",C11)),ISNUMBER(SEARCH("compost",C11)),ISNUMBER(SEARCH("anaerob",C11)),ISNUMBER(SEARCH("energy",C11))),B11,0),0)</f>
        <v>0</v>
      </c>
      <c r="F11" s="1" t="str">
        <f>IF(B18&gt;0, B11/B18*100, "")</f>
        <v/>
      </c>
      <c r="G11" s="37" t="s">
        <v>257</v>
      </c>
    </row>
    <row r="12" spans="1:11" ht="45" x14ac:dyDescent="0.25">
      <c r="A12" s="1" t="s">
        <v>258</v>
      </c>
      <c r="B12" s="1">
        <v>0</v>
      </c>
      <c r="C12" s="1"/>
      <c r="D12" s="1">
        <f t="shared" si="0"/>
        <v>0</v>
      </c>
      <c r="E12" s="1">
        <f t="shared" si="1"/>
        <v>0</v>
      </c>
      <c r="F12" s="1" t="str">
        <f>IF(B18&gt;0, B12/B18*100, "")</f>
        <v/>
      </c>
      <c r="G12" s="37" t="s">
        <v>259</v>
      </c>
    </row>
    <row r="13" spans="1:11" ht="45" x14ac:dyDescent="0.25">
      <c r="A13" s="1" t="s">
        <v>260</v>
      </c>
      <c r="B13" s="1">
        <v>0</v>
      </c>
      <c r="C13" s="1"/>
      <c r="D13" s="1">
        <f t="shared" si="0"/>
        <v>0</v>
      </c>
      <c r="E13" s="1">
        <f t="shared" si="1"/>
        <v>0</v>
      </c>
      <c r="F13" s="1" t="str">
        <f>IF(B18&gt;0, B13/B18*100, "")</f>
        <v/>
      </c>
      <c r="G13" s="37" t="s">
        <v>261</v>
      </c>
    </row>
    <row r="14" spans="1:11" x14ac:dyDescent="0.25">
      <c r="A14" s="1" t="s">
        <v>262</v>
      </c>
      <c r="B14" s="1">
        <v>0</v>
      </c>
      <c r="C14" s="1"/>
      <c r="D14" s="1">
        <f t="shared" si="0"/>
        <v>0</v>
      </c>
      <c r="E14" s="1">
        <f t="shared" si="1"/>
        <v>0</v>
      </c>
      <c r="F14" s="1" t="str">
        <f>IF(B18&gt;0, B14/B18*100, "")</f>
        <v/>
      </c>
      <c r="G14" s="37" t="s">
        <v>263</v>
      </c>
    </row>
    <row r="15" spans="1:11" ht="30" x14ac:dyDescent="0.25">
      <c r="A15" s="1" t="s">
        <v>264</v>
      </c>
      <c r="B15" s="1">
        <v>0</v>
      </c>
      <c r="C15" s="1"/>
      <c r="D15" s="1">
        <f t="shared" si="0"/>
        <v>0</v>
      </c>
      <c r="E15" s="1">
        <f t="shared" si="1"/>
        <v>0</v>
      </c>
      <c r="F15" s="1" t="str">
        <f>IF(B18&gt;0, B15/B18*100, "")</f>
        <v/>
      </c>
      <c r="G15" s="37" t="s">
        <v>265</v>
      </c>
    </row>
    <row r="16" spans="1:11" ht="60" x14ac:dyDescent="0.25">
      <c r="A16" s="1" t="s">
        <v>266</v>
      </c>
      <c r="B16" s="1">
        <v>0</v>
      </c>
      <c r="C16" s="1"/>
      <c r="D16" s="1">
        <f t="shared" si="0"/>
        <v>0</v>
      </c>
      <c r="E16" s="1">
        <f t="shared" si="1"/>
        <v>0</v>
      </c>
      <c r="F16" s="1" t="str">
        <f>IF(B18&gt;0, B16/B18*100, "")</f>
        <v/>
      </c>
      <c r="G16" s="37" t="s">
        <v>267</v>
      </c>
    </row>
    <row r="17" spans="1:7" ht="60" x14ac:dyDescent="0.25">
      <c r="A17" s="1" t="s">
        <v>268</v>
      </c>
      <c r="B17" s="1">
        <v>0</v>
      </c>
      <c r="C17" s="1"/>
      <c r="D17" s="1">
        <f t="shared" si="0"/>
        <v>0</v>
      </c>
      <c r="E17" s="1">
        <f t="shared" si="1"/>
        <v>0</v>
      </c>
      <c r="F17" s="1" t="str">
        <f>IF(B18&gt;0, B17/B18*100, "")</f>
        <v/>
      </c>
      <c r="G17" s="37" t="s">
        <v>269</v>
      </c>
    </row>
    <row r="18" spans="1:7" x14ac:dyDescent="0.25">
      <c r="A18" s="107" t="s">
        <v>270</v>
      </c>
      <c r="B18" s="107">
        <f>SUM(B11:B17)</f>
        <v>0</v>
      </c>
      <c r="C18" s="1"/>
      <c r="D18" s="1"/>
      <c r="E18" s="1"/>
      <c r="F18" s="1"/>
      <c r="G18" s="1"/>
    </row>
    <row r="19" spans="1:7" x14ac:dyDescent="0.25">
      <c r="A19" s="107" t="s">
        <v>271</v>
      </c>
      <c r="B19" s="1"/>
      <c r="C19" s="1"/>
      <c r="D19" s="107">
        <f>SUM(D11:D17)</f>
        <v>0</v>
      </c>
      <c r="E19" s="1"/>
      <c r="F19" s="1"/>
      <c r="G19" s="1"/>
    </row>
    <row r="20" spans="1:7" x14ac:dyDescent="0.25">
      <c r="A20" s="107" t="s">
        <v>272</v>
      </c>
      <c r="B20" s="1"/>
      <c r="C20" s="1"/>
      <c r="D20" s="1"/>
      <c r="E20" s="107">
        <f>SUM(E11:E17)</f>
        <v>0</v>
      </c>
      <c r="F20" s="1"/>
      <c r="G20" s="1"/>
    </row>
    <row r="21" spans="1:7" x14ac:dyDescent="0.25">
      <c r="A21" s="107" t="s">
        <v>273</v>
      </c>
      <c r="B21" s="107" t="str">
        <f>IF(B18&gt;0, D19/B18*100, "")</f>
        <v/>
      </c>
      <c r="C21" s="1"/>
      <c r="D21" s="1"/>
      <c r="E21" s="1"/>
      <c r="F21" s="1"/>
      <c r="G21" s="1"/>
    </row>
    <row r="22" spans="1:7" x14ac:dyDescent="0.25">
      <c r="A22" s="107" t="s">
        <v>274</v>
      </c>
      <c r="B22" s="107" t="str">
        <f>IF(B18&gt;0, E20/B18*100, "")</f>
        <v/>
      </c>
      <c r="C22" s="1"/>
      <c r="D22" s="1"/>
      <c r="E22" s="1"/>
      <c r="F22" s="1"/>
      <c r="G22" s="1"/>
    </row>
    <row r="24" spans="1:7" ht="15.75" x14ac:dyDescent="0.25">
      <c r="A24" s="162" t="s">
        <v>64</v>
      </c>
      <c r="B24" s="153"/>
      <c r="C24" s="153"/>
      <c r="D24" s="153"/>
      <c r="E24" s="153"/>
      <c r="F24" s="153"/>
    </row>
    <row r="25" spans="1:7" x14ac:dyDescent="0.25">
      <c r="A25" s="107" t="s">
        <v>66</v>
      </c>
      <c r="B25" s="1">
        <f>E4</f>
        <v>4320</v>
      </c>
    </row>
    <row r="26" spans="1:7" x14ac:dyDescent="0.25">
      <c r="A26" s="107" t="s">
        <v>200</v>
      </c>
      <c r="B26" s="1">
        <f>F4</f>
        <v>12318.75</v>
      </c>
    </row>
    <row r="27" spans="1:7" x14ac:dyDescent="0.25">
      <c r="A27" s="107" t="s">
        <v>201</v>
      </c>
      <c r="B27" s="1">
        <f>IF(B4&gt;0, F4*B4/100, "")</f>
        <v>9239.0625</v>
      </c>
    </row>
    <row r="28" spans="1:7" x14ac:dyDescent="0.25">
      <c r="A28" s="1"/>
      <c r="B28" s="1"/>
    </row>
    <row r="29" spans="1:7" x14ac:dyDescent="0.25">
      <c r="A29" s="107" t="s">
        <v>275</v>
      </c>
      <c r="B29" s="1">
        <f>IF(E4&gt;0, B18/E4, "")</f>
        <v>0</v>
      </c>
    </row>
    <row r="30" spans="1:7" x14ac:dyDescent="0.25">
      <c r="A30" s="107" t="s">
        <v>276</v>
      </c>
      <c r="B30" s="1">
        <f>IF(B27&gt;0, B18/B27, "")</f>
        <v>0</v>
      </c>
    </row>
    <row r="31" spans="1:7" x14ac:dyDescent="0.25">
      <c r="A31" s="107" t="s">
        <v>277</v>
      </c>
      <c r="B31" s="1" t="str">
        <f>IF(B18&gt;0, D19/B18*100, "")</f>
        <v/>
      </c>
    </row>
    <row r="32" spans="1:7" x14ac:dyDescent="0.25">
      <c r="A32" s="107" t="s">
        <v>274</v>
      </c>
      <c r="B32" s="1" t="str">
        <f>IF(B18&gt;0, E20/B18*100, "")</f>
        <v/>
      </c>
    </row>
    <row r="34" spans="1:6" ht="15.75" x14ac:dyDescent="0.25">
      <c r="A34" s="162" t="s">
        <v>72</v>
      </c>
      <c r="B34" s="153"/>
      <c r="C34" s="153"/>
      <c r="D34" s="153"/>
      <c r="E34" s="153"/>
      <c r="F34" s="153"/>
    </row>
    <row r="35" spans="1:6" x14ac:dyDescent="0.25">
      <c r="A35" s="107" t="s">
        <v>278</v>
      </c>
      <c r="B35" s="1">
        <v>1.5</v>
      </c>
      <c r="C35" s="1"/>
    </row>
    <row r="36" spans="1:6" x14ac:dyDescent="0.25">
      <c r="A36" s="107" t="s">
        <v>279</v>
      </c>
      <c r="B36" s="1">
        <v>2.5</v>
      </c>
      <c r="C36" s="1"/>
    </row>
    <row r="37" spans="1:6" x14ac:dyDescent="0.25">
      <c r="A37" s="107" t="s">
        <v>280</v>
      </c>
      <c r="B37" s="1">
        <v>3.5</v>
      </c>
      <c r="C37" s="1"/>
    </row>
    <row r="38" spans="1:6" x14ac:dyDescent="0.25">
      <c r="A38" s="107" t="s">
        <v>281</v>
      </c>
      <c r="B38" s="1" t="str">
        <f>IF(AND(B30&gt;0,B36&gt;0), (B30/B36-1)*100, "")</f>
        <v/>
      </c>
      <c r="C38" s="1" t="s">
        <v>37</v>
      </c>
    </row>
    <row r="40" spans="1:6" ht="15.75" x14ac:dyDescent="0.25">
      <c r="A40" s="162" t="s">
        <v>73</v>
      </c>
      <c r="B40" s="153"/>
      <c r="C40" s="153"/>
      <c r="D40" s="153"/>
      <c r="E40" s="153"/>
    </row>
    <row r="41" spans="1:6" x14ac:dyDescent="0.25">
      <c r="A41" s="107" t="s">
        <v>101</v>
      </c>
      <c r="B41" s="1">
        <f>MIN(10, COUNTIF(B11:B17,"&gt;0")*2)</f>
        <v>0</v>
      </c>
      <c r="C41" s="1"/>
    </row>
    <row r="42" spans="1:6" x14ac:dyDescent="0.25">
      <c r="A42" s="107" t="s">
        <v>282</v>
      </c>
      <c r="B42" s="1">
        <f>IF(B30="",0, IF(B30&lt;=B35,40, IF(B30&lt;=B36,30, IF(B30&lt;=B37,20, 5))))</f>
        <v>40</v>
      </c>
      <c r="C42" s="1"/>
    </row>
    <row r="43" spans="1:6" x14ac:dyDescent="0.25">
      <c r="A43" s="107" t="s">
        <v>283</v>
      </c>
      <c r="B43" s="1">
        <f>IF(OR(B31="",B32=""),0, IF((B31+B32)&gt;=80,20, IF((B31+B32)&gt;=60,14, IF((B31+B32)&gt;=40,8, 2))))</f>
        <v>0</v>
      </c>
      <c r="C43" s="1"/>
    </row>
    <row r="45" spans="1:6" x14ac:dyDescent="0.25">
      <c r="A45" s="43" t="s">
        <v>226</v>
      </c>
      <c r="B45" t="s">
        <v>284</v>
      </c>
    </row>
    <row r="47" spans="1:6" ht="15.75" x14ac:dyDescent="0.25">
      <c r="A47" s="110" t="s">
        <v>74</v>
      </c>
      <c r="B47" s="1">
        <f>B41+B42+B43</f>
        <v>40</v>
      </c>
    </row>
    <row r="49" spans="1:4" ht="15.75" x14ac:dyDescent="0.25">
      <c r="A49" s="162" t="s">
        <v>285</v>
      </c>
      <c r="B49" s="153"/>
      <c r="C49" s="153"/>
      <c r="D49" s="153"/>
    </row>
    <row r="50" spans="1:4" x14ac:dyDescent="0.25">
      <c r="A50" s="101" t="s">
        <v>214</v>
      </c>
      <c r="B50" s="101" t="s">
        <v>215</v>
      </c>
      <c r="C50" s="101" t="s">
        <v>46</v>
      </c>
    </row>
    <row r="51" spans="1:4" ht="60" x14ac:dyDescent="0.25">
      <c r="A51" t="s">
        <v>286</v>
      </c>
      <c r="C51" s="45" t="s">
        <v>287</v>
      </c>
    </row>
    <row r="52" spans="1:4" ht="45" x14ac:dyDescent="0.25">
      <c r="A52" t="s">
        <v>288</v>
      </c>
      <c r="C52" s="45" t="s">
        <v>289</v>
      </c>
    </row>
    <row r="53" spans="1:4" ht="30" x14ac:dyDescent="0.25">
      <c r="A53" t="s">
        <v>290</v>
      </c>
      <c r="C53" s="45" t="s">
        <v>291</v>
      </c>
    </row>
    <row r="54" spans="1:4" ht="30" x14ac:dyDescent="0.25">
      <c r="A54" t="s">
        <v>292</v>
      </c>
      <c r="C54" s="45" t="s">
        <v>293</v>
      </c>
    </row>
    <row r="55" spans="1:4" ht="30" x14ac:dyDescent="0.25">
      <c r="A55" t="s">
        <v>294</v>
      </c>
      <c r="C55" s="45" t="s">
        <v>295</v>
      </c>
    </row>
    <row r="56" spans="1:4" x14ac:dyDescent="0.25">
      <c r="A56" s="43" t="s">
        <v>226</v>
      </c>
      <c r="B56">
        <f>COUNTIF(B51:B55,"Yes")*6</f>
        <v>0</v>
      </c>
    </row>
    <row r="58" spans="1:4" ht="15.75" x14ac:dyDescent="0.25">
      <c r="A58" s="110" t="s">
        <v>74</v>
      </c>
      <c r="B58" s="1" t="e">
        <f ca="1">SUMIF(A:A,"*score*",B:B)</f>
        <v>#VALUE!</v>
      </c>
    </row>
    <row r="59" spans="1:4" ht="15.75" x14ac:dyDescent="0.25">
      <c r="A59" s="110" t="s">
        <v>75</v>
      </c>
      <c r="B59" s="1" t="e">
        <f ca="1">IF(B58&gt;=91,"Platinum",IF(B58&gt;=76,"Gold",IF(B58&gt;=51,"Silver",IF(B58&gt;=26,"Bronze","Basic"))))</f>
        <v>#VALUE!</v>
      </c>
    </row>
    <row r="61" spans="1:4" ht="15.75" x14ac:dyDescent="0.25">
      <c r="A61" s="102" t="s">
        <v>296</v>
      </c>
    </row>
    <row r="62" spans="1:4" x14ac:dyDescent="0.25">
      <c r="A62" s="111" t="s">
        <v>77</v>
      </c>
      <c r="B62" s="111" t="s">
        <v>78</v>
      </c>
      <c r="C62" s="111" t="s">
        <v>79</v>
      </c>
      <c r="D62" s="111" t="s">
        <v>80</v>
      </c>
    </row>
    <row r="63" spans="1:4" ht="45" x14ac:dyDescent="0.25">
      <c r="A63" s="37" t="s">
        <v>81</v>
      </c>
      <c r="B63" s="37" t="s">
        <v>297</v>
      </c>
      <c r="C63" s="37" t="s">
        <v>298</v>
      </c>
      <c r="D63" s="37" t="s">
        <v>299</v>
      </c>
    </row>
    <row r="64" spans="1:4" ht="75" x14ac:dyDescent="0.25">
      <c r="A64" s="37" t="s">
        <v>85</v>
      </c>
      <c r="B64" s="37" t="s">
        <v>300</v>
      </c>
      <c r="C64" s="37" t="s">
        <v>301</v>
      </c>
      <c r="D64" s="37" t="s">
        <v>302</v>
      </c>
    </row>
    <row r="65" spans="1:4" ht="60" x14ac:dyDescent="0.25">
      <c r="A65" s="37" t="s">
        <v>89</v>
      </c>
      <c r="B65" s="37" t="s">
        <v>303</v>
      </c>
      <c r="C65" s="37" t="s">
        <v>304</v>
      </c>
      <c r="D65" s="37" t="s">
        <v>305</v>
      </c>
    </row>
    <row r="66" spans="1:4" ht="75" x14ac:dyDescent="0.25">
      <c r="A66" s="37" t="s">
        <v>93</v>
      </c>
      <c r="B66" s="37" t="s">
        <v>306</v>
      </c>
      <c r="C66" s="37" t="s">
        <v>307</v>
      </c>
      <c r="D66" s="37" t="s">
        <v>308</v>
      </c>
    </row>
    <row r="67" spans="1:4" ht="75" x14ac:dyDescent="0.25">
      <c r="A67" s="37" t="s">
        <v>97</v>
      </c>
      <c r="B67" s="37" t="s">
        <v>309</v>
      </c>
      <c r="C67" s="37" t="s">
        <v>310</v>
      </c>
      <c r="D67" s="37" t="s">
        <v>311</v>
      </c>
    </row>
    <row r="69" spans="1:4" ht="15.75" x14ac:dyDescent="0.25">
      <c r="A69" s="100" t="s">
        <v>312</v>
      </c>
    </row>
    <row r="71" spans="1:4" ht="45" x14ac:dyDescent="0.25">
      <c r="A71" s="45" t="s">
        <v>313</v>
      </c>
    </row>
    <row r="72" spans="1:4" ht="30" x14ac:dyDescent="0.25">
      <c r="A72" s="45" t="s">
        <v>314</v>
      </c>
    </row>
    <row r="73" spans="1:4" ht="60" x14ac:dyDescent="0.25">
      <c r="A73" s="45" t="s">
        <v>315</v>
      </c>
    </row>
    <row r="74" spans="1:4" ht="60" x14ac:dyDescent="0.25">
      <c r="A74" s="45" t="s">
        <v>316</v>
      </c>
    </row>
    <row r="75" spans="1:4" ht="45" x14ac:dyDescent="0.25">
      <c r="A75" s="45" t="s">
        <v>317</v>
      </c>
    </row>
    <row r="76" spans="1:4" ht="45" x14ac:dyDescent="0.25">
      <c r="A76" s="45" t="s">
        <v>318</v>
      </c>
    </row>
    <row r="77" spans="1:4" ht="45" x14ac:dyDescent="0.25">
      <c r="A77" s="45" t="s">
        <v>319</v>
      </c>
    </row>
    <row r="78" spans="1:4" ht="45" x14ac:dyDescent="0.25">
      <c r="A78" s="45" t="s">
        <v>320</v>
      </c>
    </row>
  </sheetData>
  <mergeCells count="5">
    <mergeCell ref="A49:D49"/>
    <mergeCell ref="A8:G8"/>
    <mergeCell ref="A24:F24"/>
    <mergeCell ref="A34:F34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 MANAGEMENT</vt:lpstr>
      <vt:lpstr>WATER MANAGEMENT </vt:lpstr>
      <vt:lpstr>WASTE MANAGEMENT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Petra Šánová, Ph.D.</dc:creator>
  <cp:lastModifiedBy>Orság Jiří</cp:lastModifiedBy>
  <dcterms:created xsi:type="dcterms:W3CDTF">2025-03-28T11:28:55Z</dcterms:created>
  <dcterms:modified xsi:type="dcterms:W3CDTF">2026-02-24T20:45:07Z</dcterms:modified>
</cp:coreProperties>
</file>